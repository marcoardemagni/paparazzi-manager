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e4effee30d753b/Desktop/paparazzi-manager/"/>
    </mc:Choice>
  </mc:AlternateContent>
  <xr:revisionPtr revIDLastSave="30" documentId="11_B3A7C73DE8D13C688E6102E4C010CE83A7BEA052" xr6:coauthVersionLast="47" xr6:coauthVersionMax="47" xr10:uidLastSave="{04DBB571-484B-436F-BFA2-5BFDA60DF98A}"/>
  <bookViews>
    <workbookView xWindow="-98" yWindow="-98" windowWidth="21795" windowHeight="12975" xr2:uid="{00000000-000D-0000-FFFF-FFFF00000000}"/>
  </bookViews>
  <sheets>
    <sheet name="Lista calciato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8" i="1" l="1"/>
  <c r="S297" i="1"/>
  <c r="S303" i="1"/>
  <c r="S299" i="1"/>
  <c r="S307" i="1"/>
  <c r="S300" i="1"/>
  <c r="S301" i="1"/>
  <c r="S302" i="1"/>
  <c r="S326" i="1"/>
  <c r="S304" i="1"/>
  <c r="S305" i="1"/>
  <c r="S306" i="1"/>
  <c r="S309" i="1"/>
  <c r="S317" i="1"/>
  <c r="S319" i="1"/>
  <c r="S320" i="1"/>
  <c r="S322" i="1"/>
  <c r="S340" i="1"/>
  <c r="S352" i="1"/>
  <c r="S310" i="1"/>
  <c r="S311" i="1"/>
  <c r="S312" i="1"/>
  <c r="S330" i="1"/>
  <c r="S341" i="1"/>
  <c r="S345" i="1"/>
  <c r="S313" i="1"/>
  <c r="S314" i="1"/>
  <c r="S315" i="1"/>
  <c r="S316" i="1"/>
  <c r="S318" i="1"/>
  <c r="S354" i="1"/>
  <c r="S359" i="1"/>
  <c r="S321" i="1"/>
  <c r="S323" i="1"/>
  <c r="S324" i="1"/>
  <c r="S325" i="1"/>
  <c r="S327" i="1"/>
  <c r="S328" i="1"/>
  <c r="S336" i="1"/>
  <c r="S338" i="1"/>
  <c r="S342" i="1"/>
  <c r="S343" i="1"/>
  <c r="S347" i="1"/>
  <c r="S329" i="1"/>
  <c r="S331" i="1"/>
  <c r="S332" i="1"/>
  <c r="S333" i="1"/>
  <c r="S334" i="1"/>
  <c r="S335" i="1"/>
  <c r="S337" i="1"/>
  <c r="S339" i="1"/>
  <c r="S348" i="1"/>
  <c r="S350" i="1"/>
  <c r="S353" i="1"/>
  <c r="S355" i="1"/>
  <c r="S356" i="1"/>
  <c r="S360" i="1"/>
  <c r="S365" i="1"/>
  <c r="S366" i="1"/>
  <c r="S381" i="1"/>
  <c r="S344" i="1"/>
  <c r="S346" i="1"/>
  <c r="S349" i="1"/>
  <c r="S351" i="1"/>
  <c r="S358" i="1"/>
  <c r="S363" i="1"/>
  <c r="S367" i="1"/>
  <c r="S368" i="1"/>
  <c r="S369" i="1"/>
  <c r="S377" i="1"/>
  <c r="S380" i="1"/>
  <c r="S382" i="1"/>
  <c r="S385" i="1"/>
  <c r="S357" i="1"/>
  <c r="S361" i="1"/>
  <c r="S362" i="1"/>
  <c r="S364" i="1"/>
  <c r="S370" i="1"/>
  <c r="S371" i="1"/>
  <c r="S372" i="1"/>
  <c r="S374" i="1"/>
  <c r="S376" i="1"/>
  <c r="S379" i="1"/>
  <c r="S383" i="1"/>
  <c r="S384" i="1"/>
  <c r="S387" i="1"/>
  <c r="S388" i="1"/>
  <c r="S392" i="1"/>
  <c r="S393" i="1"/>
  <c r="S394" i="1"/>
  <c r="S396" i="1"/>
  <c r="S398" i="1"/>
  <c r="S400" i="1"/>
  <c r="S373" i="1"/>
  <c r="S375" i="1"/>
  <c r="S378" i="1"/>
  <c r="S386" i="1"/>
  <c r="S389" i="1"/>
  <c r="S390" i="1"/>
  <c r="S391" i="1"/>
  <c r="S395" i="1"/>
  <c r="S397" i="1"/>
  <c r="S399" i="1"/>
  <c r="S401" i="1"/>
  <c r="S402" i="1"/>
  <c r="S403" i="1"/>
  <c r="S404" i="1"/>
  <c r="S406" i="1"/>
  <c r="S408" i="1"/>
  <c r="S412" i="1"/>
  <c r="S415" i="1"/>
  <c r="S405" i="1"/>
  <c r="S407" i="1"/>
  <c r="S409" i="1"/>
  <c r="S410" i="1"/>
  <c r="S411" i="1"/>
  <c r="S413" i="1"/>
  <c r="S414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9" i="1"/>
  <c r="S467" i="1"/>
  <c r="S469" i="1"/>
  <c r="S448" i="1"/>
  <c r="S450" i="1"/>
  <c r="S451" i="1"/>
  <c r="S452" i="1"/>
  <c r="S453" i="1"/>
  <c r="S455" i="1"/>
  <c r="S457" i="1"/>
  <c r="S462" i="1"/>
  <c r="S474" i="1"/>
  <c r="S498" i="1"/>
  <c r="S454" i="1"/>
  <c r="S456" i="1"/>
  <c r="S458" i="1"/>
  <c r="S459" i="1"/>
  <c r="S461" i="1"/>
  <c r="S463" i="1"/>
  <c r="S473" i="1"/>
  <c r="S460" i="1"/>
  <c r="S464" i="1"/>
  <c r="S465" i="1"/>
  <c r="S470" i="1"/>
  <c r="S472" i="1"/>
  <c r="S520" i="1"/>
  <c r="S524" i="1"/>
  <c r="S466" i="1"/>
  <c r="S468" i="1"/>
  <c r="S475" i="1"/>
  <c r="S478" i="1"/>
  <c r="S499" i="1"/>
  <c r="S471" i="1"/>
  <c r="S487" i="1"/>
  <c r="S476" i="1"/>
  <c r="S479" i="1"/>
  <c r="S480" i="1"/>
  <c r="S482" i="1"/>
  <c r="S496" i="1"/>
  <c r="S477" i="1"/>
  <c r="S485" i="1"/>
  <c r="S489" i="1"/>
  <c r="S497" i="1"/>
  <c r="S516" i="1"/>
  <c r="S481" i="1"/>
  <c r="S483" i="1"/>
  <c r="S484" i="1"/>
  <c r="S501" i="1"/>
  <c r="S490" i="1"/>
  <c r="S493" i="1"/>
  <c r="S503" i="1"/>
  <c r="S509" i="1"/>
  <c r="S486" i="1"/>
  <c r="S488" i="1"/>
  <c r="S491" i="1"/>
  <c r="S494" i="1"/>
  <c r="S495" i="1"/>
  <c r="S500" i="1"/>
  <c r="S506" i="1"/>
  <c r="S510" i="1"/>
  <c r="S511" i="1"/>
  <c r="S534" i="1"/>
  <c r="S556" i="1"/>
  <c r="S504" i="1"/>
  <c r="S513" i="1"/>
  <c r="S546" i="1"/>
  <c r="S502" i="1"/>
  <c r="S505" i="1"/>
  <c r="S514" i="1"/>
  <c r="S532" i="1"/>
  <c r="S538" i="1"/>
  <c r="S518" i="1"/>
  <c r="S529" i="1"/>
  <c r="S521" i="1"/>
  <c r="S492" i="1"/>
  <c r="S530" i="1"/>
  <c r="S508" i="1"/>
  <c r="S527" i="1"/>
  <c r="S562" i="1"/>
  <c r="S517" i="1"/>
  <c r="S549" i="1"/>
  <c r="S512" i="1"/>
  <c r="S526" i="1"/>
  <c r="S533" i="1"/>
  <c r="S540" i="1"/>
  <c r="S542" i="1"/>
  <c r="S543" i="1"/>
  <c r="S559" i="1"/>
  <c r="S507" i="1"/>
  <c r="S522" i="1"/>
  <c r="S525" i="1"/>
  <c r="S535" i="1"/>
  <c r="S544" i="1"/>
  <c r="S515" i="1"/>
  <c r="S545" i="1"/>
  <c r="S554" i="1"/>
  <c r="S571" i="1"/>
  <c r="S519" i="1"/>
  <c r="S523" i="1"/>
  <c r="S528" i="1"/>
  <c r="S551" i="1"/>
  <c r="S552" i="1"/>
  <c r="S560" i="1"/>
  <c r="S536" i="1"/>
  <c r="S547" i="1"/>
  <c r="S541" i="1"/>
  <c r="S550" i="1"/>
  <c r="S531" i="1"/>
  <c r="S537" i="1"/>
  <c r="S568" i="1"/>
  <c r="S573" i="1"/>
  <c r="S553" i="1"/>
  <c r="S558" i="1"/>
  <c r="S563" i="1"/>
  <c r="S580" i="1"/>
  <c r="S539" i="1"/>
  <c r="S564" i="1"/>
  <c r="S572" i="1"/>
  <c r="S575" i="1"/>
  <c r="S577" i="1"/>
  <c r="S565" i="1"/>
  <c r="S555" i="1"/>
  <c r="S548" i="1"/>
  <c r="S570" i="1"/>
  <c r="S581" i="1"/>
  <c r="S584" i="1"/>
  <c r="S588" i="1"/>
  <c r="S590" i="1"/>
  <c r="S567" i="1"/>
  <c r="S569" i="1"/>
  <c r="S566" i="1"/>
  <c r="S576" i="1"/>
  <c r="S561" i="1"/>
  <c r="S582" i="1"/>
  <c r="S557" i="1"/>
  <c r="S579" i="1"/>
  <c r="S591" i="1"/>
  <c r="S585" i="1"/>
  <c r="S578" i="1"/>
  <c r="S583" i="1"/>
  <c r="S593" i="1"/>
  <c r="S587" i="1"/>
  <c r="S574" i="1"/>
  <c r="S595" i="1"/>
  <c r="S586" i="1"/>
  <c r="S592" i="1"/>
  <c r="S589" i="1"/>
  <c r="S594" i="1"/>
  <c r="S596" i="1"/>
  <c r="S298" i="1"/>
  <c r="Q299" i="1"/>
  <c r="Q300" i="1"/>
  <c r="Q298" i="1"/>
  <c r="Q301" i="1"/>
  <c r="Q302" i="1"/>
  <c r="Q304" i="1"/>
  <c r="Q305" i="1"/>
  <c r="Q306" i="1"/>
  <c r="Q309" i="1"/>
  <c r="Q310" i="1"/>
  <c r="Q311" i="1"/>
  <c r="Q303" i="1"/>
  <c r="Q312" i="1"/>
  <c r="Q313" i="1"/>
  <c r="Q314" i="1"/>
  <c r="Q307" i="1"/>
  <c r="Q315" i="1"/>
  <c r="Q316" i="1"/>
  <c r="Q318" i="1"/>
  <c r="Q321" i="1"/>
  <c r="Q308" i="1"/>
  <c r="Q323" i="1"/>
  <c r="Q324" i="1"/>
  <c r="Q325" i="1"/>
  <c r="Q327" i="1"/>
  <c r="Q328" i="1"/>
  <c r="Q329" i="1"/>
  <c r="Q331" i="1"/>
  <c r="Q332" i="1"/>
  <c r="Q333" i="1"/>
  <c r="Q334" i="1"/>
  <c r="Q335" i="1"/>
  <c r="Q337" i="1"/>
  <c r="Q339" i="1"/>
  <c r="Q317" i="1"/>
  <c r="Q319" i="1"/>
  <c r="Q320" i="1"/>
  <c r="Q322" i="1"/>
  <c r="Q344" i="1"/>
  <c r="Q346" i="1"/>
  <c r="Q349" i="1"/>
  <c r="Q351" i="1"/>
  <c r="Q336" i="1"/>
  <c r="Q338" i="1"/>
  <c r="Q357" i="1"/>
  <c r="Q361" i="1"/>
  <c r="Q362" i="1"/>
  <c r="Q342" i="1"/>
  <c r="Q364" i="1"/>
  <c r="Q330" i="1"/>
  <c r="Q348" i="1"/>
  <c r="Q350" i="1"/>
  <c r="Q326" i="1"/>
  <c r="Q373" i="1"/>
  <c r="Q358" i="1"/>
  <c r="Q375" i="1"/>
  <c r="Q343" i="1"/>
  <c r="Q378" i="1"/>
  <c r="Q363" i="1"/>
  <c r="Q347" i="1"/>
  <c r="Q353" i="1"/>
  <c r="Q355" i="1"/>
  <c r="Q356" i="1"/>
  <c r="Q360" i="1"/>
  <c r="Q341" i="1"/>
  <c r="Q370" i="1"/>
  <c r="Q371" i="1"/>
  <c r="Q372" i="1"/>
  <c r="Q374" i="1"/>
  <c r="Q376" i="1"/>
  <c r="Q340" i="1"/>
  <c r="Q379" i="1"/>
  <c r="Q367" i="1"/>
  <c r="Q368" i="1"/>
  <c r="Q369" i="1"/>
  <c r="Q345" i="1"/>
  <c r="Q365" i="1"/>
  <c r="Q366" i="1"/>
  <c r="Q386" i="1"/>
  <c r="Q383" i="1"/>
  <c r="Q389" i="1"/>
  <c r="Q390" i="1"/>
  <c r="Q391" i="1"/>
  <c r="Q377" i="1"/>
  <c r="Q354" i="1"/>
  <c r="Q384" i="1"/>
  <c r="Q380" i="1"/>
  <c r="Q395" i="1"/>
  <c r="Q359" i="1"/>
  <c r="Q382" i="1"/>
  <c r="Q387" i="1"/>
  <c r="Q388" i="1"/>
  <c r="Q397" i="1"/>
  <c r="Q399" i="1"/>
  <c r="Q352" i="1"/>
  <c r="Q392" i="1"/>
  <c r="Q393" i="1"/>
  <c r="Q394" i="1"/>
  <c r="Q396" i="1"/>
  <c r="Q385" i="1"/>
  <c r="Q381" i="1"/>
  <c r="Q401" i="1"/>
  <c r="Q405" i="1"/>
  <c r="Q398" i="1"/>
  <c r="Q402" i="1"/>
  <c r="Q403" i="1"/>
  <c r="Q404" i="1"/>
  <c r="Q407" i="1"/>
  <c r="Q406" i="1"/>
  <c r="Q409" i="1"/>
  <c r="Q410" i="1"/>
  <c r="Q400" i="1"/>
  <c r="Q411" i="1"/>
  <c r="Q408" i="1"/>
  <c r="Q413" i="1"/>
  <c r="Q414" i="1"/>
  <c r="Q416" i="1"/>
  <c r="Q417" i="1"/>
  <c r="Q418" i="1"/>
  <c r="Q419" i="1"/>
  <c r="Q420" i="1"/>
  <c r="Q412" i="1"/>
  <c r="Q421" i="1"/>
  <c r="Q422" i="1"/>
  <c r="Q415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8" i="1"/>
  <c r="Q450" i="1"/>
  <c r="Q447" i="1"/>
  <c r="Q454" i="1"/>
  <c r="Q449" i="1"/>
  <c r="Q451" i="1"/>
  <c r="Q452" i="1"/>
  <c r="Q453" i="1"/>
  <c r="Q460" i="1"/>
  <c r="Q456" i="1"/>
  <c r="Q458" i="1"/>
  <c r="Q455" i="1"/>
  <c r="Q459" i="1"/>
  <c r="Q461" i="1"/>
  <c r="Q466" i="1"/>
  <c r="Q471" i="1"/>
  <c r="Q457" i="1"/>
  <c r="Q468" i="1"/>
  <c r="Q464" i="1"/>
  <c r="Q465" i="1"/>
  <c r="Q463" i="1"/>
  <c r="Q492" i="1"/>
  <c r="Q462" i="1"/>
  <c r="Q470" i="1"/>
  <c r="Q472" i="1"/>
  <c r="Q477" i="1"/>
  <c r="Q476" i="1"/>
  <c r="Q475" i="1"/>
  <c r="Q486" i="1"/>
  <c r="Q481" i="1"/>
  <c r="Q473" i="1"/>
  <c r="Q483" i="1"/>
  <c r="Q484" i="1"/>
  <c r="Q479" i="1"/>
  <c r="Q480" i="1"/>
  <c r="Q488" i="1"/>
  <c r="Q478" i="1"/>
  <c r="Q507" i="1"/>
  <c r="Q482" i="1"/>
  <c r="Q485" i="1"/>
  <c r="Q491" i="1"/>
  <c r="Q494" i="1"/>
  <c r="Q495" i="1"/>
  <c r="Q467" i="1"/>
  <c r="Q469" i="1"/>
  <c r="Q474" i="1"/>
  <c r="Q490" i="1"/>
  <c r="Q493" i="1"/>
  <c r="Q502" i="1"/>
  <c r="Q487" i="1"/>
  <c r="Q508" i="1"/>
  <c r="Q505" i="1"/>
  <c r="Q500" i="1"/>
  <c r="Q489" i="1"/>
  <c r="Q504" i="1"/>
  <c r="Q515" i="1"/>
  <c r="Q512" i="1"/>
  <c r="Q519" i="1"/>
  <c r="Q531" i="1"/>
  <c r="Q523" i="1"/>
  <c r="Q497" i="1"/>
  <c r="Q506" i="1"/>
  <c r="Q539" i="1"/>
  <c r="Q496" i="1"/>
  <c r="Q528" i="1"/>
  <c r="Q503" i="1"/>
  <c r="Q537" i="1"/>
  <c r="Q501" i="1"/>
  <c r="Q522" i="1"/>
  <c r="Q525" i="1"/>
  <c r="Q536" i="1"/>
  <c r="Q510" i="1"/>
  <c r="Q511" i="1"/>
  <c r="Q517" i="1"/>
  <c r="Q548" i="1"/>
  <c r="Q541" i="1"/>
  <c r="Q514" i="1"/>
  <c r="Q509" i="1"/>
  <c r="Q499" i="1"/>
  <c r="Q526" i="1"/>
  <c r="Q513" i="1"/>
  <c r="Q557" i="1"/>
  <c r="Q535" i="1"/>
  <c r="Q518" i="1"/>
  <c r="Q521" i="1"/>
  <c r="Q527" i="1"/>
  <c r="Q533" i="1"/>
  <c r="Q555" i="1"/>
  <c r="Q561" i="1"/>
  <c r="Q530" i="1"/>
  <c r="Q547" i="1"/>
  <c r="Q550" i="1"/>
  <c r="Q529" i="1"/>
  <c r="Q498" i="1"/>
  <c r="Q553" i="1"/>
  <c r="Q540" i="1"/>
  <c r="Q545" i="1"/>
  <c r="Q542" i="1"/>
  <c r="Q544" i="1"/>
  <c r="Q532" i="1"/>
  <c r="Q551" i="1"/>
  <c r="Q552" i="1"/>
  <c r="Q566" i="1"/>
  <c r="Q543" i="1"/>
  <c r="Q558" i="1"/>
  <c r="Q567" i="1"/>
  <c r="Q538" i="1"/>
  <c r="Q569" i="1"/>
  <c r="Q516" i="1"/>
  <c r="Q565" i="1"/>
  <c r="Q574" i="1"/>
  <c r="Q534" i="1"/>
  <c r="Q554" i="1"/>
  <c r="Q564" i="1"/>
  <c r="Q570" i="1"/>
  <c r="Q560" i="1"/>
  <c r="Q563" i="1"/>
  <c r="Q549" i="1"/>
  <c r="Q586" i="1"/>
  <c r="Q578" i="1"/>
  <c r="Q583" i="1"/>
  <c r="Q589" i="1"/>
  <c r="Q587" i="1"/>
  <c r="Q579" i="1"/>
  <c r="Q576" i="1"/>
  <c r="Q585" i="1"/>
  <c r="Q582" i="1"/>
  <c r="Q568" i="1"/>
  <c r="Q546" i="1"/>
  <c r="Q572" i="1"/>
  <c r="Q559" i="1"/>
  <c r="Q520" i="1"/>
  <c r="Q524" i="1"/>
  <c r="Q592" i="1"/>
  <c r="Q594" i="1"/>
  <c r="Q581" i="1"/>
  <c r="Q584" i="1"/>
  <c r="Q575" i="1"/>
  <c r="Q577" i="1"/>
  <c r="Q588" i="1"/>
  <c r="Q593" i="1"/>
  <c r="Q591" i="1"/>
  <c r="Q573" i="1"/>
  <c r="Q595" i="1"/>
  <c r="Q562" i="1"/>
  <c r="Q580" i="1"/>
  <c r="Q596" i="1"/>
  <c r="Q571" i="1"/>
  <c r="Q590" i="1"/>
  <c r="Q556" i="1"/>
  <c r="Q297" i="1"/>
  <c r="O589" i="1"/>
  <c r="O586" i="1"/>
  <c r="O298" i="1"/>
  <c r="O574" i="1"/>
  <c r="O557" i="1"/>
  <c r="O561" i="1"/>
  <c r="O596" i="1"/>
  <c r="O492" i="1"/>
  <c r="O507" i="1"/>
  <c r="O587" i="1"/>
  <c r="O566" i="1"/>
  <c r="O548" i="1"/>
  <c r="O592" i="1"/>
  <c r="O531" i="1"/>
  <c r="O352" i="1"/>
  <c r="O539" i="1"/>
  <c r="O448" i="1"/>
  <c r="O519" i="1"/>
  <c r="O536" i="1"/>
  <c r="O537" i="1"/>
  <c r="O508" i="1"/>
  <c r="O412" i="1"/>
  <c r="O583" i="1"/>
  <c r="O555" i="1"/>
  <c r="O303" i="1"/>
  <c r="O523" i="1"/>
  <c r="O297" i="1"/>
  <c r="O512" i="1"/>
  <c r="O515" i="1"/>
  <c r="O578" i="1"/>
  <c r="O326" i="1"/>
  <c r="O308" i="1"/>
  <c r="O340" i="1"/>
  <c r="O247" i="1"/>
  <c r="O528" i="1"/>
  <c r="O570" i="1"/>
  <c r="O553" i="1"/>
  <c r="O415" i="1"/>
  <c r="O525" i="1"/>
  <c r="O582" i="1"/>
  <c r="O471" i="1"/>
  <c r="O299" i="1"/>
  <c r="O579" i="1"/>
  <c r="O593" i="1"/>
  <c r="O567" i="1"/>
  <c r="O547" i="1"/>
  <c r="O541" i="1"/>
  <c r="O522" i="1"/>
  <c r="O491" i="1"/>
  <c r="O569" i="1"/>
  <c r="O545" i="1"/>
  <c r="O425" i="1"/>
  <c r="O585" i="1"/>
  <c r="O505" i="1"/>
  <c r="O595" i="1"/>
  <c r="O300" i="1"/>
  <c r="O307" i="1"/>
  <c r="O398" i="1"/>
  <c r="O576" i="1"/>
  <c r="O345" i="1"/>
  <c r="O359" i="1"/>
  <c r="O400" i="1"/>
  <c r="O533" i="1"/>
  <c r="O550" i="1"/>
  <c r="O481" i="1"/>
  <c r="O565" i="1"/>
  <c r="O354" i="1"/>
  <c r="O488" i="1"/>
  <c r="O267" i="1"/>
  <c r="O301" i="1"/>
  <c r="O483" i="1"/>
  <c r="O486" i="1"/>
  <c r="O543" i="1"/>
  <c r="O438" i="1"/>
  <c r="O302" i="1"/>
  <c r="O517" i="1"/>
  <c r="O551" i="1"/>
  <c r="O494" i="1"/>
  <c r="O477" i="1"/>
  <c r="O305" i="1"/>
  <c r="O381" i="1"/>
  <c r="O552" i="1"/>
  <c r="O540" i="1"/>
  <c r="O568" i="1"/>
  <c r="O440" i="1"/>
  <c r="O341" i="1"/>
  <c r="O319" i="1"/>
  <c r="O544" i="1"/>
  <c r="O495" i="1"/>
  <c r="O564" i="1"/>
  <c r="O529" i="1"/>
  <c r="O304" i="1"/>
  <c r="O527" i="1"/>
  <c r="O500" i="1"/>
  <c r="O454" i="1"/>
  <c r="O526" i="1"/>
  <c r="O581" i="1"/>
  <c r="O317" i="1"/>
  <c r="O330" i="1"/>
  <c r="O310" i="1"/>
  <c r="O320" i="1"/>
  <c r="O493" i="1"/>
  <c r="O309" i="1"/>
  <c r="O504" i="1"/>
  <c r="O306" i="1"/>
  <c r="O558" i="1"/>
  <c r="O387" i="1"/>
  <c r="O322" i="1"/>
  <c r="O490" i="1"/>
  <c r="O421" i="1"/>
  <c r="O460" i="1"/>
  <c r="O502" i="1"/>
  <c r="O408" i="1"/>
  <c r="O563" i="1"/>
  <c r="O535" i="1"/>
  <c r="O450" i="1"/>
  <c r="O456" i="1"/>
  <c r="O420" i="1"/>
  <c r="O312" i="1"/>
  <c r="O479" i="1"/>
  <c r="O402" i="1"/>
  <c r="O338" i="1"/>
  <c r="O501" i="1"/>
  <c r="O401" i="1"/>
  <c r="O572" i="1"/>
  <c r="O328" i="1"/>
  <c r="O530" i="1"/>
  <c r="O343" i="1"/>
  <c r="O213" i="1"/>
  <c r="O511" i="1"/>
  <c r="O385" i="1"/>
  <c r="O346" i="1"/>
  <c r="O468" i="1"/>
  <c r="O489" i="1"/>
  <c r="O506" i="1"/>
  <c r="O584" i="1"/>
  <c r="O542" i="1"/>
  <c r="O452" i="1"/>
  <c r="O411" i="1"/>
  <c r="O466" i="1"/>
  <c r="O222" i="1"/>
  <c r="O423" i="1"/>
  <c r="O439" i="1"/>
  <c r="O591" i="1"/>
  <c r="O514" i="1"/>
  <c r="O513" i="1"/>
  <c r="O313" i="1"/>
  <c r="O422" i="1"/>
  <c r="O458" i="1"/>
  <c r="O424" i="1"/>
  <c r="O588" i="1"/>
  <c r="O451" i="1"/>
  <c r="O396" i="1"/>
  <c r="O382" i="1"/>
  <c r="O75" i="1"/>
  <c r="O355" i="1"/>
  <c r="O7" i="1"/>
  <c r="O336" i="1"/>
  <c r="O392" i="1"/>
  <c r="O342" i="1"/>
  <c r="O365" i="1"/>
  <c r="O442" i="1"/>
  <c r="O459" i="1"/>
  <c r="O560" i="1"/>
  <c r="O393" i="1"/>
  <c r="O366" i="1"/>
  <c r="O484" i="1"/>
  <c r="O573" i="1"/>
  <c r="O391" i="1"/>
  <c r="O210" i="1"/>
  <c r="O244" i="1"/>
  <c r="O347" i="1"/>
  <c r="O6" i="1"/>
  <c r="O311" i="1"/>
  <c r="O136" i="1"/>
  <c r="O554" i="1"/>
  <c r="O157" i="1"/>
  <c r="O464" i="1"/>
  <c r="O325" i="1"/>
  <c r="O327" i="1"/>
  <c r="O209" i="1"/>
  <c r="O212" i="1"/>
  <c r="O433" i="1"/>
  <c r="O503" i="1"/>
  <c r="O480" i="1"/>
  <c r="O13" i="1"/>
  <c r="O314" i="1"/>
  <c r="O367" i="1"/>
  <c r="O470" i="1"/>
  <c r="O441" i="1"/>
  <c r="O323" i="1"/>
  <c r="O316" i="1"/>
  <c r="O403" i="1"/>
  <c r="O521" i="1"/>
  <c r="O549" i="1"/>
  <c r="O258" i="1"/>
  <c r="O472" i="1"/>
  <c r="O284" i="1"/>
  <c r="O146" i="1"/>
  <c r="O331" i="1"/>
  <c r="O397" i="1"/>
  <c r="O358" i="1"/>
  <c r="O49" i="1"/>
  <c r="O117" i="1"/>
  <c r="O139" i="1"/>
  <c r="O575" i="1"/>
  <c r="O167" i="1"/>
  <c r="O369" i="1"/>
  <c r="O419" i="1"/>
  <c r="O577" i="1"/>
  <c r="O443" i="1"/>
  <c r="O463" i="1"/>
  <c r="O142" i="1"/>
  <c r="O348" i="1"/>
  <c r="O315" i="1"/>
  <c r="O455" i="1"/>
  <c r="O487" i="1"/>
  <c r="O482" i="1"/>
  <c r="O510" i="1"/>
  <c r="O113" i="1"/>
  <c r="O372" i="1"/>
  <c r="O417" i="1"/>
  <c r="O485" i="1"/>
  <c r="O230" i="1"/>
  <c r="O534" i="1"/>
  <c r="O250" i="1"/>
  <c r="O255" i="1"/>
  <c r="O257" i="1"/>
  <c r="O473" i="1"/>
  <c r="O380" i="1"/>
  <c r="O263" i="1"/>
  <c r="O445" i="1"/>
  <c r="O329" i="1"/>
  <c r="O34" i="1"/>
  <c r="O416" i="1"/>
  <c r="O404" i="1"/>
  <c r="O538" i="1"/>
  <c r="O133" i="1"/>
  <c r="O353" i="1"/>
  <c r="O432" i="1"/>
  <c r="O394" i="1"/>
  <c r="O518" i="1"/>
  <c r="O356" i="1"/>
  <c r="O265" i="1"/>
  <c r="O280" i="1"/>
  <c r="O360" i="1"/>
  <c r="O406" i="1"/>
  <c r="O461" i="1"/>
  <c r="O580" i="1"/>
  <c r="O562" i="1"/>
  <c r="O409" i="1"/>
  <c r="O90" i="1"/>
  <c r="O334" i="1"/>
  <c r="O102" i="1"/>
  <c r="O109" i="1"/>
  <c r="O337" i="1"/>
  <c r="O151" i="1"/>
  <c r="O160" i="1"/>
  <c r="O166" i="1"/>
  <c r="O183" i="1"/>
  <c r="O188" i="1"/>
  <c r="O350" i="1"/>
  <c r="O202" i="1"/>
  <c r="O497" i="1"/>
  <c r="O388" i="1"/>
  <c r="O496" i="1"/>
  <c r="O383" i="1"/>
  <c r="O333" i="1"/>
  <c r="O69" i="1"/>
  <c r="O344" i="1"/>
  <c r="O430" i="1"/>
  <c r="O371" i="1"/>
  <c r="O80" i="1"/>
  <c r="O84" i="1"/>
  <c r="O389" i="1"/>
  <c r="O407" i="1"/>
  <c r="O115" i="1"/>
  <c r="O122" i="1"/>
  <c r="O447" i="1"/>
  <c r="O444" i="1"/>
  <c r="O418" i="1"/>
  <c r="O377" i="1"/>
  <c r="O165" i="1"/>
  <c r="O197" i="1"/>
  <c r="O414" i="1"/>
  <c r="O405" i="1"/>
  <c r="O318" i="1"/>
  <c r="O384" i="1"/>
  <c r="O241" i="1"/>
  <c r="O251" i="1"/>
  <c r="O363" i="1"/>
  <c r="O532" i="1"/>
  <c r="O475" i="1"/>
  <c r="O509" i="1"/>
  <c r="O362" i="1"/>
  <c r="O546" i="1"/>
  <c r="O465" i="1"/>
  <c r="O446" i="1"/>
  <c r="O14" i="1"/>
  <c r="O15" i="1"/>
  <c r="O29" i="1"/>
  <c r="O43" i="1"/>
  <c r="O44" i="1"/>
  <c r="O57" i="1"/>
  <c r="O67" i="1"/>
  <c r="O71" i="1"/>
  <c r="O82" i="1"/>
  <c r="O88" i="1"/>
  <c r="O89" i="1"/>
  <c r="O125" i="1"/>
  <c r="O132" i="1"/>
  <c r="O154" i="1"/>
  <c r="O175" i="1"/>
  <c r="O177" i="1"/>
  <c r="O181" i="1"/>
  <c r="O189" i="1"/>
  <c r="O191" i="1"/>
  <c r="O220" i="1"/>
  <c r="O226" i="1"/>
  <c r="O228" i="1"/>
  <c r="O229" i="1"/>
  <c r="O232" i="1"/>
  <c r="O236" i="1"/>
  <c r="O261" i="1"/>
  <c r="O287" i="1"/>
  <c r="O332" i="1"/>
  <c r="O373" i="1"/>
  <c r="O370" i="1"/>
  <c r="O70" i="1"/>
  <c r="O83" i="1"/>
  <c r="O462" i="1"/>
  <c r="O335" i="1"/>
  <c r="O114" i="1"/>
  <c r="O474" i="1"/>
  <c r="O124" i="1"/>
  <c r="O374" i="1"/>
  <c r="O376" i="1"/>
  <c r="O143" i="1"/>
  <c r="O149" i="1"/>
  <c r="O162" i="1"/>
  <c r="O351" i="1"/>
  <c r="O185" i="1"/>
  <c r="O399" i="1"/>
  <c r="O204" i="1"/>
  <c r="O364" i="1"/>
  <c r="O476" i="1"/>
  <c r="O240" i="1"/>
  <c r="O242" i="1"/>
  <c r="O478" i="1"/>
  <c r="O379" i="1"/>
  <c r="O256" i="1"/>
  <c r="O259" i="1"/>
  <c r="O272" i="1"/>
  <c r="O274" i="1"/>
  <c r="O321" i="1"/>
  <c r="O349" i="1"/>
  <c r="O339" i="1"/>
  <c r="O375" i="1"/>
  <c r="O112" i="1"/>
  <c r="O145" i="1"/>
  <c r="O171" i="1"/>
  <c r="O410" i="1"/>
  <c r="O23" i="1"/>
  <c r="O35" i="1"/>
  <c r="O73" i="1"/>
  <c r="O103" i="1"/>
  <c r="O390" i="1"/>
  <c r="O173" i="1"/>
  <c r="O231" i="1"/>
  <c r="O233" i="1"/>
  <c r="O245" i="1"/>
  <c r="O268" i="1"/>
  <c r="O516" i="1"/>
  <c r="O571" i="1"/>
  <c r="O27" i="1"/>
  <c r="O28" i="1"/>
  <c r="O79" i="1"/>
  <c r="O361" i="1"/>
  <c r="O107" i="1"/>
  <c r="O111" i="1"/>
  <c r="O126" i="1"/>
  <c r="O150" i="1"/>
  <c r="O368" i="1"/>
  <c r="O184" i="1"/>
  <c r="O378" i="1"/>
  <c r="O324" i="1"/>
  <c r="O198" i="1"/>
  <c r="O199" i="1"/>
  <c r="O205" i="1"/>
  <c r="O208" i="1"/>
  <c r="O214" i="1"/>
  <c r="O217" i="1"/>
  <c r="O221" i="1"/>
  <c r="O227" i="1"/>
  <c r="O238" i="1"/>
  <c r="O252" i="1"/>
  <c r="O254" i="1"/>
  <c r="O291" i="1"/>
  <c r="O556" i="1"/>
  <c r="O499" i="1"/>
  <c r="O195" i="1"/>
  <c r="O10" i="1"/>
  <c r="O449" i="1"/>
  <c r="O64" i="1"/>
  <c r="O357" i="1"/>
  <c r="O131" i="1"/>
  <c r="O153" i="1"/>
  <c r="O413" i="1"/>
  <c r="O559" i="1"/>
  <c r="O289" i="1"/>
  <c r="O85" i="1"/>
  <c r="O121" i="1"/>
  <c r="O147" i="1"/>
  <c r="O161" i="1"/>
  <c r="O163" i="1"/>
  <c r="O178" i="1"/>
  <c r="O187" i="1"/>
  <c r="O190" i="1"/>
  <c r="O200" i="1"/>
  <c r="O219" i="1"/>
  <c r="O234" i="1"/>
  <c r="O277" i="1"/>
  <c r="O278" i="1"/>
  <c r="O11" i="1"/>
  <c r="O32" i="1"/>
  <c r="O40" i="1"/>
  <c r="O59" i="1"/>
  <c r="O76" i="1"/>
  <c r="O78" i="1"/>
  <c r="O87" i="1"/>
  <c r="O91" i="1"/>
  <c r="O101" i="1"/>
  <c r="O116" i="1"/>
  <c r="O140" i="1"/>
  <c r="O148" i="1"/>
  <c r="O152" i="1"/>
  <c r="O203" i="1"/>
  <c r="O211" i="1"/>
  <c r="O243" i="1"/>
  <c r="O249" i="1"/>
  <c r="O253" i="1"/>
  <c r="O264" i="1"/>
  <c r="O453" i="1"/>
  <c r="O266" i="1"/>
  <c r="O56" i="1"/>
  <c r="O53" i="1"/>
  <c r="O86" i="1"/>
  <c r="O104" i="1"/>
  <c r="O193" i="1"/>
  <c r="O457" i="1"/>
  <c r="O286" i="1"/>
  <c r="O54" i="1"/>
  <c r="O66" i="1"/>
  <c r="O92" i="1"/>
  <c r="O106" i="1"/>
  <c r="O123" i="1"/>
  <c r="O168" i="1"/>
  <c r="O172" i="1"/>
  <c r="O174" i="1"/>
  <c r="O194" i="1"/>
  <c r="O24" i="1"/>
  <c r="O26" i="1"/>
  <c r="O37" i="1"/>
  <c r="O93" i="1"/>
  <c r="O120" i="1"/>
  <c r="O127" i="1"/>
  <c r="O158" i="1"/>
  <c r="O192" i="1"/>
  <c r="O215" i="1"/>
  <c r="O271" i="1"/>
  <c r="O279" i="1"/>
  <c r="O292" i="1"/>
  <c r="O428" i="1"/>
  <c r="O590" i="1"/>
  <c r="O520" i="1"/>
  <c r="O395" i="1"/>
  <c r="O294" i="1"/>
  <c r="O4" i="1"/>
  <c r="O81" i="1"/>
  <c r="O96" i="1"/>
  <c r="O97" i="1"/>
  <c r="O118" i="1"/>
  <c r="O275" i="1"/>
  <c r="O41" i="1"/>
  <c r="O61" i="1"/>
  <c r="O77" i="1"/>
  <c r="O119" i="1"/>
  <c r="O128" i="1"/>
  <c r="O176" i="1"/>
  <c r="O179" i="1"/>
  <c r="O196" i="1"/>
  <c r="O206" i="1"/>
  <c r="O216" i="1"/>
  <c r="O282" i="1"/>
  <c r="O386" i="1"/>
  <c r="O36" i="1"/>
  <c r="O42" i="1"/>
  <c r="O55" i="1"/>
  <c r="O63" i="1"/>
  <c r="O105" i="1"/>
  <c r="O129" i="1"/>
  <c r="O135" i="1"/>
  <c r="O138" i="1"/>
  <c r="O182" i="1"/>
  <c r="O186" i="1"/>
  <c r="O201" i="1"/>
  <c r="O283" i="1"/>
  <c r="O290" i="1"/>
  <c r="O426" i="1"/>
  <c r="O19" i="1"/>
  <c r="O38" i="1"/>
  <c r="O58" i="1"/>
  <c r="O68" i="1"/>
  <c r="O74" i="1"/>
  <c r="O98" i="1"/>
  <c r="O110" i="1"/>
  <c r="O2" i="1"/>
  <c r="O3" i="1"/>
  <c r="O16" i="1"/>
  <c r="O17" i="1"/>
  <c r="O18" i="1"/>
  <c r="O39" i="1"/>
  <c r="O51" i="1"/>
  <c r="O62" i="1"/>
  <c r="O72" i="1"/>
  <c r="O94" i="1"/>
  <c r="O99" i="1"/>
  <c r="O155" i="1"/>
  <c r="O164" i="1"/>
  <c r="O218" i="1"/>
  <c r="O8" i="1"/>
  <c r="O12" i="1"/>
  <c r="O22" i="1"/>
  <c r="O45" i="1"/>
  <c r="O46" i="1"/>
  <c r="O47" i="1"/>
  <c r="O52" i="1"/>
  <c r="O60" i="1"/>
  <c r="O65" i="1"/>
  <c r="O95" i="1"/>
  <c r="O100" i="1"/>
  <c r="O130" i="1"/>
  <c r="O169" i="1"/>
  <c r="O170" i="1"/>
  <c r="O180" i="1"/>
  <c r="O223" i="1"/>
  <c r="O224" i="1"/>
  <c r="O285" i="1"/>
  <c r="O288" i="1"/>
  <c r="O5" i="1"/>
  <c r="O9" i="1"/>
  <c r="O467" i="1"/>
  <c r="O20" i="1"/>
  <c r="O21" i="1"/>
  <c r="O25" i="1"/>
  <c r="O30" i="1"/>
  <c r="O31" i="1"/>
  <c r="O33" i="1"/>
  <c r="O427" i="1"/>
  <c r="O48" i="1"/>
  <c r="O50" i="1"/>
  <c r="O429" i="1"/>
  <c r="O498" i="1"/>
  <c r="O469" i="1"/>
  <c r="O108" i="1"/>
  <c r="O134" i="1"/>
  <c r="O137" i="1"/>
  <c r="O141" i="1"/>
  <c r="O144" i="1"/>
  <c r="O156" i="1"/>
  <c r="O159" i="1"/>
  <c r="O431" i="1"/>
  <c r="O207" i="1"/>
  <c r="O225" i="1"/>
  <c r="O235" i="1"/>
  <c r="O237" i="1"/>
  <c r="O239" i="1"/>
  <c r="O246" i="1"/>
  <c r="O248" i="1"/>
  <c r="O260" i="1"/>
  <c r="O434" i="1"/>
  <c r="O262" i="1"/>
  <c r="O524" i="1"/>
  <c r="O269" i="1"/>
  <c r="O270" i="1"/>
  <c r="O273" i="1"/>
  <c r="O276" i="1"/>
  <c r="O435" i="1"/>
  <c r="O436" i="1"/>
  <c r="O281" i="1"/>
  <c r="O293" i="1"/>
  <c r="O295" i="1"/>
  <c r="O437" i="1"/>
  <c r="O296" i="1"/>
  <c r="O594" i="1"/>
</calcChain>
</file>

<file path=xl/sharedStrings.xml><?xml version="1.0" encoding="utf-8"?>
<sst xmlns="http://schemas.openxmlformats.org/spreadsheetml/2006/main" count="3589" uniqueCount="735">
  <si>
    <t>#</t>
  </si>
  <si>
    <t>Nome</t>
  </si>
  <si>
    <t>Fuori lista</t>
  </si>
  <si>
    <t>Sq.</t>
  </si>
  <si>
    <t>Under</t>
  </si>
  <si>
    <t>R.</t>
  </si>
  <si>
    <t>R.MANTRA</t>
  </si>
  <si>
    <t>PGv</t>
  </si>
  <si>
    <t>MV</t>
  </si>
  <si>
    <t>FM</t>
  </si>
  <si>
    <t>FVM/1000</t>
  </si>
  <si>
    <t>QUOT.</t>
  </si>
  <si>
    <t>FantaSquadra</t>
  </si>
  <si>
    <t>Costo</t>
  </si>
  <si>
    <t>Malen</t>
  </si>
  <si>
    <t/>
  </si>
  <si>
    <t>Roma</t>
  </si>
  <si>
    <t>A</t>
  </si>
  <si>
    <t>Pc</t>
  </si>
  <si>
    <t>Inter Noi Giovani</t>
  </si>
  <si>
    <t>203</t>
  </si>
  <si>
    <t>Martinez L.</t>
  </si>
  <si>
    <t>Inter</t>
  </si>
  <si>
    <t>A.C. CIUGHINA</t>
  </si>
  <si>
    <t>150</t>
  </si>
  <si>
    <t>Hojlund</t>
  </si>
  <si>
    <t>Napoli</t>
  </si>
  <si>
    <t>Real Madrink</t>
  </si>
  <si>
    <t>121</t>
  </si>
  <si>
    <t>Thuram</t>
  </si>
  <si>
    <t>2</t>
  </si>
  <si>
    <t>Paz N.</t>
  </si>
  <si>
    <t>Como</t>
  </si>
  <si>
    <t>C</t>
  </si>
  <si>
    <t>T/A</t>
  </si>
  <si>
    <t>112</t>
  </si>
  <si>
    <t>Dimarco</t>
  </si>
  <si>
    <t>D</t>
  </si>
  <si>
    <t>E/W</t>
  </si>
  <si>
    <t>85</t>
  </si>
  <si>
    <t>Calhanoglu</t>
  </si>
  <si>
    <t>M/C</t>
  </si>
  <si>
    <t>Remuntada FC</t>
  </si>
  <si>
    <t>80</t>
  </si>
  <si>
    <t>Ramos G.</t>
  </si>
  <si>
    <t>Milan</t>
  </si>
  <si>
    <t>StranAmorim</t>
  </si>
  <si>
    <t>220</t>
  </si>
  <si>
    <t>McTominay</t>
  </si>
  <si>
    <t>C/T</t>
  </si>
  <si>
    <t>CATENACCIO FC</t>
  </si>
  <si>
    <t>43</t>
  </si>
  <si>
    <t>Kean</t>
  </si>
  <si>
    <t>concorezzo FC</t>
  </si>
  <si>
    <t>46</t>
  </si>
  <si>
    <t>Douvikas</t>
  </si>
  <si>
    <t>I Balordi</t>
  </si>
  <si>
    <t>92</t>
  </si>
  <si>
    <t>Baturina</t>
  </si>
  <si>
    <t>T</t>
  </si>
  <si>
    <t>67</t>
  </si>
  <si>
    <t>Orsolini</t>
  </si>
  <si>
    <t>Bologna</t>
  </si>
  <si>
    <t>W/A</t>
  </si>
  <si>
    <t>65</t>
  </si>
  <si>
    <t>Kolo Muani</t>
  </si>
  <si>
    <t>Juventus</t>
  </si>
  <si>
    <t>131</t>
  </si>
  <si>
    <t>Rabiot</t>
  </si>
  <si>
    <t>il drogatello allo sportello</t>
  </si>
  <si>
    <t>50</t>
  </si>
  <si>
    <t>Woltemade</t>
  </si>
  <si>
    <t>Complimenti ai ragazzi</t>
  </si>
  <si>
    <t>14</t>
  </si>
  <si>
    <t>Pulisic</t>
  </si>
  <si>
    <t>55</t>
  </si>
  <si>
    <t>Frattesi</t>
  </si>
  <si>
    <t>Lazio</t>
  </si>
  <si>
    <t>13</t>
  </si>
  <si>
    <t>Davis K.</t>
  </si>
  <si>
    <t>Udinese</t>
  </si>
  <si>
    <t>Dybala</t>
  </si>
  <si>
    <t>1000 GIORNI - CNEQ</t>
  </si>
  <si>
    <t>41</t>
  </si>
  <si>
    <t>Berardi</t>
  </si>
  <si>
    <t>Sassuolo</t>
  </si>
  <si>
    <t>47</t>
  </si>
  <si>
    <t>Esposito F.P.</t>
  </si>
  <si>
    <t>35</t>
  </si>
  <si>
    <t>De Bruyne</t>
  </si>
  <si>
    <t>IlPrincipe</t>
  </si>
  <si>
    <t>15</t>
  </si>
  <si>
    <t>Scamacca</t>
  </si>
  <si>
    <t>Atalanta</t>
  </si>
  <si>
    <t>81</t>
  </si>
  <si>
    <t>Mora</t>
  </si>
  <si>
    <t>57</t>
  </si>
  <si>
    <t>Krstovic</t>
  </si>
  <si>
    <t>Wesley</t>
  </si>
  <si>
    <t>E</t>
  </si>
  <si>
    <t>42</t>
  </si>
  <si>
    <t>De Ketelaere</t>
  </si>
  <si>
    <t>1</t>
  </si>
  <si>
    <t>Zaccagni</t>
  </si>
  <si>
    <t>36</t>
  </si>
  <si>
    <t>Da Cunha</t>
  </si>
  <si>
    <t>40</t>
  </si>
  <si>
    <t>Svilar</t>
  </si>
  <si>
    <t>P</t>
  </si>
  <si>
    <t>Por</t>
  </si>
  <si>
    <t>76</t>
  </si>
  <si>
    <t>Barella</t>
  </si>
  <si>
    <t>5</t>
  </si>
  <si>
    <t>Yildiz</t>
  </si>
  <si>
    <t>3</t>
  </si>
  <si>
    <t>Laurientè</t>
  </si>
  <si>
    <t>6</t>
  </si>
  <si>
    <t>Leao</t>
  </si>
  <si>
    <t>*</t>
  </si>
  <si>
    <t>Zaniolo</t>
  </si>
  <si>
    <t>Simeone</t>
  </si>
  <si>
    <t>Torino</t>
  </si>
  <si>
    <t>Atta</t>
  </si>
  <si>
    <t>Fiorentina</t>
  </si>
  <si>
    <t>45</t>
  </si>
  <si>
    <t>Molina N.</t>
  </si>
  <si>
    <t>16</t>
  </si>
  <si>
    <t>Diao</t>
  </si>
  <si>
    <t>Castro S.</t>
  </si>
  <si>
    <t>Conceicao</t>
  </si>
  <si>
    <t>19</t>
  </si>
  <si>
    <t>McKennie</t>
  </si>
  <si>
    <t>Vicario</t>
  </si>
  <si>
    <t>71</t>
  </si>
  <si>
    <t>Raspadori</t>
  </si>
  <si>
    <t>83</t>
  </si>
  <si>
    <t>Martinez Jo.</t>
  </si>
  <si>
    <t>61</t>
  </si>
  <si>
    <t>Vlasic</t>
  </si>
  <si>
    <t>38</t>
  </si>
  <si>
    <t>Bremer</t>
  </si>
  <si>
    <t>Dc</t>
  </si>
  <si>
    <t>Santos A.</t>
  </si>
  <si>
    <t>Ekkelenkamp</t>
  </si>
  <si>
    <t>23</t>
  </si>
  <si>
    <t>Carnesecchi</t>
  </si>
  <si>
    <t>62</t>
  </si>
  <si>
    <t>Raimondo</t>
  </si>
  <si>
    <t>Frosinone</t>
  </si>
  <si>
    <t>33</t>
  </si>
  <si>
    <t>Colombo</t>
  </si>
  <si>
    <t>Genoa</t>
  </si>
  <si>
    <t>10</t>
  </si>
  <si>
    <t>Soulè</t>
  </si>
  <si>
    <t>Pinamonti</t>
  </si>
  <si>
    <t>25</t>
  </si>
  <si>
    <t>Maignan</t>
  </si>
  <si>
    <t>100</t>
  </si>
  <si>
    <t>Pellegrino M.</t>
  </si>
  <si>
    <t>Dovbyk</t>
  </si>
  <si>
    <t>Piccoli</t>
  </si>
  <si>
    <t>Ederson D.S.</t>
  </si>
  <si>
    <t>Rrahmani</t>
  </si>
  <si>
    <t>Mancini</t>
  </si>
  <si>
    <t>8</t>
  </si>
  <si>
    <t>Butez</t>
  </si>
  <si>
    <t>12</t>
  </si>
  <si>
    <t>Meret</t>
  </si>
  <si>
    <t>31</t>
  </si>
  <si>
    <t>Beto</t>
  </si>
  <si>
    <t>Goncalves P.</t>
  </si>
  <si>
    <t>W/T</t>
  </si>
  <si>
    <t>21</t>
  </si>
  <si>
    <t>Gonzalez N.</t>
  </si>
  <si>
    <t>48</t>
  </si>
  <si>
    <t>Pavlovic</t>
  </si>
  <si>
    <t>7</t>
  </si>
  <si>
    <t>Kalulu</t>
  </si>
  <si>
    <t>Dd/Dc</t>
  </si>
  <si>
    <t>Lukaku</t>
  </si>
  <si>
    <t>Taylor K.</t>
  </si>
  <si>
    <t>Modric</t>
  </si>
  <si>
    <t>Akanji</t>
  </si>
  <si>
    <t>26</t>
  </si>
  <si>
    <t>Diouf</t>
  </si>
  <si>
    <t>E/C</t>
  </si>
  <si>
    <t>29</t>
  </si>
  <si>
    <t>Gudmundsson A.</t>
  </si>
  <si>
    <t>Samardzic</t>
  </si>
  <si>
    <t>Kessiè</t>
  </si>
  <si>
    <t>Alajbegovic</t>
  </si>
  <si>
    <t>Jones C.</t>
  </si>
  <si>
    <t>Zielinski</t>
  </si>
  <si>
    <t>20</t>
  </si>
  <si>
    <t>N'Dicka</t>
  </si>
  <si>
    <t>Bastoni</t>
  </si>
  <si>
    <t>9</t>
  </si>
  <si>
    <t>Mastantuono</t>
  </si>
  <si>
    <t>Rowe</t>
  </si>
  <si>
    <t>30</t>
  </si>
  <si>
    <t>Cissè A.</t>
  </si>
  <si>
    <t>Politano</t>
  </si>
  <si>
    <t>W</t>
  </si>
  <si>
    <t>11</t>
  </si>
  <si>
    <t>Solet</t>
  </si>
  <si>
    <t>Moreira</t>
  </si>
  <si>
    <t>Konè M.</t>
  </si>
  <si>
    <t>Di Lorenzo</t>
  </si>
  <si>
    <t>Dd/E</t>
  </si>
  <si>
    <t>Mandas</t>
  </si>
  <si>
    <t>Varela G.</t>
  </si>
  <si>
    <t>Monza</t>
  </si>
  <si>
    <t>Esposito Se.</t>
  </si>
  <si>
    <t>Zambo Anguissa</t>
  </si>
  <si>
    <t>28</t>
  </si>
  <si>
    <t>Mandragora</t>
  </si>
  <si>
    <t>Bisseck</t>
  </si>
  <si>
    <t>Hermoso</t>
  </si>
  <si>
    <t>32</t>
  </si>
  <si>
    <t>Osmajic</t>
  </si>
  <si>
    <t>Adams A.</t>
  </si>
  <si>
    <t>Venezia</t>
  </si>
  <si>
    <t>Tourè E.</t>
  </si>
  <si>
    <t>Parma</t>
  </si>
  <si>
    <t>Vergara</t>
  </si>
  <si>
    <t>Perrone</t>
  </si>
  <si>
    <t>Thorstvedt</t>
  </si>
  <si>
    <t>Ostigard</t>
  </si>
  <si>
    <t>Romero D.</t>
  </si>
  <si>
    <t>22</t>
  </si>
  <si>
    <t>Bowie</t>
  </si>
  <si>
    <t>Adams C.</t>
  </si>
  <si>
    <t>Bernabè</t>
  </si>
  <si>
    <t>4</t>
  </si>
  <si>
    <t>Saelemaekers</t>
  </si>
  <si>
    <t>Ramon</t>
  </si>
  <si>
    <t>Couto</t>
  </si>
  <si>
    <t>Spence</t>
  </si>
  <si>
    <t>Gila</t>
  </si>
  <si>
    <t>Chalobah T.</t>
  </si>
  <si>
    <t>Skorupski</t>
  </si>
  <si>
    <t>Kevin Carlos</t>
  </si>
  <si>
    <t>Cagliari</t>
  </si>
  <si>
    <t>Yeboah J.</t>
  </si>
  <si>
    <t>Kvernadze</t>
  </si>
  <si>
    <t>Gaetano</t>
  </si>
  <si>
    <t>Cristante</t>
  </si>
  <si>
    <t>Vasquez</t>
  </si>
  <si>
    <t>Ds/Dc</t>
  </si>
  <si>
    <t>Boga</t>
  </si>
  <si>
    <t>Calò</t>
  </si>
  <si>
    <t>Milla</t>
  </si>
  <si>
    <t>Cacciamani</t>
  </si>
  <si>
    <t>Fazzini</t>
  </si>
  <si>
    <t>Tavares N.</t>
  </si>
  <si>
    <t>Ds/E</t>
  </si>
  <si>
    <t>Okoye</t>
  </si>
  <si>
    <t>Ghedjemis</t>
  </si>
  <si>
    <t>David</t>
  </si>
  <si>
    <t>Maldini</t>
  </si>
  <si>
    <t>18</t>
  </si>
  <si>
    <t>Rodriguez Je.</t>
  </si>
  <si>
    <t>Njie</t>
  </si>
  <si>
    <t>Volpato</t>
  </si>
  <si>
    <t>Sarr P.</t>
  </si>
  <si>
    <t>Cambiaghi</t>
  </si>
  <si>
    <t>Locatelli</t>
  </si>
  <si>
    <t>Bernardeschi</t>
  </si>
  <si>
    <t>Valle</t>
  </si>
  <si>
    <t>De Winter</t>
  </si>
  <si>
    <t>Scalvini</t>
  </si>
  <si>
    <t>Gutierrez</t>
  </si>
  <si>
    <t>Miranda J.</t>
  </si>
  <si>
    <t>Caprile</t>
  </si>
  <si>
    <t>De Gea</t>
  </si>
  <si>
    <t>Falcone</t>
  </si>
  <si>
    <t>Lecce</t>
  </si>
  <si>
    <t>Gnonto</t>
  </si>
  <si>
    <t>Schmid</t>
  </si>
  <si>
    <t>Casadei</t>
  </si>
  <si>
    <t>Ferguson</t>
  </si>
  <si>
    <t>Baldanzi</t>
  </si>
  <si>
    <t>Lobotka</t>
  </si>
  <si>
    <t>Diego Carlos</t>
  </si>
  <si>
    <t>Spinazzola</t>
  </si>
  <si>
    <t>Perri</t>
  </si>
  <si>
    <t>Ratkov</t>
  </si>
  <si>
    <t>Geubbels</t>
  </si>
  <si>
    <t>Monteiro J.</t>
  </si>
  <si>
    <t>Hutchinson</t>
  </si>
  <si>
    <t>Romano</t>
  </si>
  <si>
    <t>Mbangula</t>
  </si>
  <si>
    <t>Isaksen</t>
  </si>
  <si>
    <t>Cancellieri</t>
  </si>
  <si>
    <t>Elmas</t>
  </si>
  <si>
    <t>Pasalic</t>
  </si>
  <si>
    <t>Delprato</t>
  </si>
  <si>
    <t>B/Dd/E</t>
  </si>
  <si>
    <t>Valeri</t>
  </si>
  <si>
    <t>Stones</t>
  </si>
  <si>
    <t>Neres</t>
  </si>
  <si>
    <t>Camarda</t>
  </si>
  <si>
    <t>Dia</t>
  </si>
  <si>
    <t>Nkunku</t>
  </si>
  <si>
    <t>Cutrone</t>
  </si>
  <si>
    <t>Braganca</t>
  </si>
  <si>
    <t>Sucic P.</t>
  </si>
  <si>
    <t>Konè I.</t>
  </si>
  <si>
    <t>Karlstrom</t>
  </si>
  <si>
    <t>Pierotti</t>
  </si>
  <si>
    <t>Pisilli</t>
  </si>
  <si>
    <t>Frendrup</t>
  </si>
  <si>
    <t>Koopmeiners</t>
  </si>
  <si>
    <t>Basic</t>
  </si>
  <si>
    <t>Thuram K.</t>
  </si>
  <si>
    <t>Chukwueze</t>
  </si>
  <si>
    <t>El Shaarawy</t>
  </si>
  <si>
    <t>17</t>
  </si>
  <si>
    <t>Pellegrini Lo.</t>
  </si>
  <si>
    <t>Sutalo J.</t>
  </si>
  <si>
    <t>Tiago Gabriel</t>
  </si>
  <si>
    <t>Idzes</t>
  </si>
  <si>
    <t>Kristensen T.</t>
  </si>
  <si>
    <t>Dodò</t>
  </si>
  <si>
    <t>Carlos Augusto</t>
  </si>
  <si>
    <t>B/Ds/E</t>
  </si>
  <si>
    <t>Theate</t>
  </si>
  <si>
    <t>Dragusin</t>
  </si>
  <si>
    <t>Vojvoda</t>
  </si>
  <si>
    <t>Zortea</t>
  </si>
  <si>
    <t>Mina</t>
  </si>
  <si>
    <t>Marusic</t>
  </si>
  <si>
    <t>Dd/Ds/E</t>
  </si>
  <si>
    <t>Romagnoli</t>
  </si>
  <si>
    <t>Suzuki</t>
  </si>
  <si>
    <t>Zeballos</t>
  </si>
  <si>
    <t>Lontani</t>
  </si>
  <si>
    <t>Fitz-Jim</t>
  </si>
  <si>
    <t>Oulai</t>
  </si>
  <si>
    <t>Ondrejka</t>
  </si>
  <si>
    <t>Liberali</t>
  </si>
  <si>
    <t>Ndour</t>
  </si>
  <si>
    <t>39</t>
  </si>
  <si>
    <t>Folorunsho</t>
  </si>
  <si>
    <t>Coulibaly L.</t>
  </si>
  <si>
    <t>Zalewski</t>
  </si>
  <si>
    <t>Fagioli</t>
  </si>
  <si>
    <t>Belghali</t>
  </si>
  <si>
    <t>Bernasconi</t>
  </si>
  <si>
    <t>Circati</t>
  </si>
  <si>
    <t>Jimenez A.</t>
  </si>
  <si>
    <t>Lucumì</t>
  </si>
  <si>
    <t>Bellanova</t>
  </si>
  <si>
    <t>Badiashile</t>
  </si>
  <si>
    <t>Bobcek</t>
  </si>
  <si>
    <t>Bonny</t>
  </si>
  <si>
    <t>Perez K.</t>
  </si>
  <si>
    <t>Keita M.</t>
  </si>
  <si>
    <t>Adzic</t>
  </si>
  <si>
    <t>Colpani</t>
  </si>
  <si>
    <t>Musah</t>
  </si>
  <si>
    <t>C/W</t>
  </si>
  <si>
    <t>Douglas Luiz</t>
  </si>
  <si>
    <t>Rovella</t>
  </si>
  <si>
    <t>Nicolussi Caviglia</t>
  </si>
  <si>
    <t>Winks</t>
  </si>
  <si>
    <t>Loftus-Cheek</t>
  </si>
  <si>
    <t>Odgaard</t>
  </si>
  <si>
    <t>Pessina</t>
  </si>
  <si>
    <t>Matic</t>
  </si>
  <si>
    <t>Sugawara</t>
  </si>
  <si>
    <t>Koulierakis</t>
  </si>
  <si>
    <t>Mangas</t>
  </si>
  <si>
    <t>Bracaglia</t>
  </si>
  <si>
    <t>Heggem</t>
  </si>
  <si>
    <t>Norton-Cuffy</t>
  </si>
  <si>
    <t>Bartesaghi</t>
  </si>
  <si>
    <t>Doekhi</t>
  </si>
  <si>
    <t>Obert</t>
  </si>
  <si>
    <t>Cambiaso</t>
  </si>
  <si>
    <t>Celik</t>
  </si>
  <si>
    <t>Buongiorno</t>
  </si>
  <si>
    <t>Djimsiti</t>
  </si>
  <si>
    <t>Zappacosta</t>
  </si>
  <si>
    <t>Sanchez Ro.</t>
  </si>
  <si>
    <t>Muric</t>
  </si>
  <si>
    <t>Mendy P.</t>
  </si>
  <si>
    <t>Lang</t>
  </si>
  <si>
    <t>Ngonge</t>
  </si>
  <si>
    <t>Jashari</t>
  </si>
  <si>
    <t>Piotrowski</t>
  </si>
  <si>
    <t>Tourè I.</t>
  </si>
  <si>
    <t>E/M</t>
  </si>
  <si>
    <t>Bakola</t>
  </si>
  <si>
    <t>Unai Gomez</t>
  </si>
  <si>
    <t>Dele-Bashiru</t>
  </si>
  <si>
    <t xml:space="preserve">Fini </t>
  </si>
  <si>
    <t>El Aynaoui</t>
  </si>
  <si>
    <t>Moro N.</t>
  </si>
  <si>
    <t>Ellertsson</t>
  </si>
  <si>
    <t>Sow</t>
  </si>
  <si>
    <t>Zhegrova</t>
  </si>
  <si>
    <t>Busio</t>
  </si>
  <si>
    <t>Adopo</t>
  </si>
  <si>
    <t>Comert</t>
  </si>
  <si>
    <t>Calvani</t>
  </si>
  <si>
    <t>Kaiki</t>
  </si>
  <si>
    <t>Obrador</t>
  </si>
  <si>
    <t>Valdepenas</t>
  </si>
  <si>
    <t>Zè Pedro</t>
  </si>
  <si>
    <t>Rodriguez Ju.</t>
  </si>
  <si>
    <t>Bella-Kotchap</t>
  </si>
  <si>
    <t>Kouadio</t>
  </si>
  <si>
    <t>Troilo</t>
  </si>
  <si>
    <t>Provstgaard</t>
  </si>
  <si>
    <t>Rensch</t>
  </si>
  <si>
    <t>Ahanor</t>
  </si>
  <si>
    <t>Kempf</t>
  </si>
  <si>
    <t>Marcandalli</t>
  </si>
  <si>
    <t>Coco</t>
  </si>
  <si>
    <t>Comuzzo</t>
  </si>
  <si>
    <t>Leite</t>
  </si>
  <si>
    <t>Olivera</t>
  </si>
  <si>
    <t>Holm</t>
  </si>
  <si>
    <t>Estupinan</t>
  </si>
  <si>
    <t>Ismajli</t>
  </si>
  <si>
    <t>Monterisi</t>
  </si>
  <si>
    <t>Pedraza</t>
  </si>
  <si>
    <t>Gabbia</t>
  </si>
  <si>
    <t>Pavard</t>
  </si>
  <si>
    <t>Robinson J.</t>
  </si>
  <si>
    <t>Rrahmani Al.</t>
  </si>
  <si>
    <t>Stulic</t>
  </si>
  <si>
    <t>N'Dri</t>
  </si>
  <si>
    <t>Lucca</t>
  </si>
  <si>
    <t>Vitinha O.</t>
  </si>
  <si>
    <t>Zapata D.</t>
  </si>
  <si>
    <t>Massolin</t>
  </si>
  <si>
    <t>Mout</t>
  </si>
  <si>
    <t>Diallo O.</t>
  </si>
  <si>
    <t>Koutsoupias</t>
  </si>
  <si>
    <t>Cichella</t>
  </si>
  <si>
    <t>Meichtry</t>
  </si>
  <si>
    <t>Amorim</t>
  </si>
  <si>
    <t>Ngom</t>
  </si>
  <si>
    <t>Gorter</t>
  </si>
  <si>
    <t>Sorensen O.</t>
  </si>
  <si>
    <t>Miller L.</t>
  </si>
  <si>
    <t>Dominguez B.</t>
  </si>
  <si>
    <t>Fadera</t>
  </si>
  <si>
    <t>Akinsanmiro</t>
  </si>
  <si>
    <t>Oristanio</t>
  </si>
  <si>
    <t>Almqvist</t>
  </si>
  <si>
    <t>Gineitis</t>
  </si>
  <si>
    <t>Berisha M.</t>
  </si>
  <si>
    <t>Zerbin</t>
  </si>
  <si>
    <t>Ricci S.</t>
  </si>
  <si>
    <t>Sohm</t>
  </si>
  <si>
    <t>Luis Henrique</t>
  </si>
  <si>
    <t>Pobega</t>
  </si>
  <si>
    <t>Caqueret</t>
  </si>
  <si>
    <t>Brescianini</t>
  </si>
  <si>
    <t>Traorè Hj.</t>
  </si>
  <si>
    <t>Cataldi</t>
  </si>
  <si>
    <t>Leysen F.</t>
  </si>
  <si>
    <t>Favasuli</t>
  </si>
  <si>
    <t>Viery</t>
  </si>
  <si>
    <t>Helland</t>
  </si>
  <si>
    <t>Siebert</t>
  </si>
  <si>
    <t>Joao Mario</t>
  </si>
  <si>
    <t>Fortini</t>
  </si>
  <si>
    <t>Veiga D.</t>
  </si>
  <si>
    <t>Palma</t>
  </si>
  <si>
    <t>Van Der Brempt</t>
  </si>
  <si>
    <t>Hainaut</t>
  </si>
  <si>
    <t>Kelly L.</t>
  </si>
  <si>
    <t>Lucchesi</t>
  </si>
  <si>
    <t>Gaspar K.</t>
  </si>
  <si>
    <t>Pedersen</t>
  </si>
  <si>
    <t>Beukema</t>
  </si>
  <si>
    <t>Hien</t>
  </si>
  <si>
    <t>Birindelli</t>
  </si>
  <si>
    <t>Patterson</t>
  </si>
  <si>
    <t>Kossounou</t>
  </si>
  <si>
    <t>Kamara H.</t>
  </si>
  <si>
    <t>Correia T.</t>
  </si>
  <si>
    <t>Angelino</t>
  </si>
  <si>
    <t>Balerdi</t>
  </si>
  <si>
    <t>Gallo</t>
  </si>
  <si>
    <t>Kabasele</t>
  </si>
  <si>
    <t>Caleta-Car</t>
  </si>
  <si>
    <t>Rodriguez R.</t>
  </si>
  <si>
    <t>Delli Carri</t>
  </si>
  <si>
    <t>Bijlow</t>
  </si>
  <si>
    <t>Palmisani</t>
  </si>
  <si>
    <t>Stankovic F.</t>
  </si>
  <si>
    <t>Elphege</t>
  </si>
  <si>
    <t>Gimenez</t>
  </si>
  <si>
    <t>Dallinga</t>
  </si>
  <si>
    <t>Borrelli</t>
  </si>
  <si>
    <t>Nzola</t>
  </si>
  <si>
    <t>Grillitsch</t>
  </si>
  <si>
    <t>Amondarain</t>
  </si>
  <si>
    <t>Gandelman</t>
  </si>
  <si>
    <t>Ordonez C.</t>
  </si>
  <si>
    <t>Addai</t>
  </si>
  <si>
    <t>El Azzouzi O.</t>
  </si>
  <si>
    <t>Gilmour</t>
  </si>
  <si>
    <t>Ilic</t>
  </si>
  <si>
    <t>Fofana Y.</t>
  </si>
  <si>
    <t>Mkhitaryan</t>
  </si>
  <si>
    <t>De Roon</t>
  </si>
  <si>
    <t>Lulli</t>
  </si>
  <si>
    <t>Halhal</t>
  </si>
  <si>
    <t>Mitaj</t>
  </si>
  <si>
    <t>Britschgi</t>
  </si>
  <si>
    <t>Floriani Mussolini</t>
  </si>
  <si>
    <t>Vitik</t>
  </si>
  <si>
    <t>Smolcic I.</t>
  </si>
  <si>
    <t>Schingtienne</t>
  </si>
  <si>
    <t>Ghilardi</t>
  </si>
  <si>
    <t>Oyono A.</t>
  </si>
  <si>
    <t>Ehizibue</t>
  </si>
  <si>
    <t>Abankwah</t>
  </si>
  <si>
    <t>Doig</t>
  </si>
  <si>
    <t>Gatti</t>
  </si>
  <si>
    <t>Bertola</t>
  </si>
  <si>
    <t>Dd/Ds/Dc</t>
  </si>
  <si>
    <t>Drameh</t>
  </si>
  <si>
    <t>Haps</t>
  </si>
  <si>
    <t>Zanoli</t>
  </si>
  <si>
    <t>Mazzocchi</t>
  </si>
  <si>
    <t>Parisi</t>
  </si>
  <si>
    <t>Valenti</t>
  </si>
  <si>
    <t>Carboni A.</t>
  </si>
  <si>
    <t>Ranieri L.</t>
  </si>
  <si>
    <t>Walukiewicz</t>
  </si>
  <si>
    <t>Juan Jesus</t>
  </si>
  <si>
    <t>Tornqvist</t>
  </si>
  <si>
    <t>Corvi</t>
  </si>
  <si>
    <t>Di Gregorio</t>
  </si>
  <si>
    <t>Birligea</t>
  </si>
  <si>
    <t>Fatah</t>
  </si>
  <si>
    <t>Kulenovic</t>
  </si>
  <si>
    <t>Gueye</t>
  </si>
  <si>
    <t>Ekhator</t>
  </si>
  <si>
    <t>Mutandwa</t>
  </si>
  <si>
    <t>Noslin</t>
  </si>
  <si>
    <t>Mota</t>
  </si>
  <si>
    <t>Morata</t>
  </si>
  <si>
    <t>Fernandez T.</t>
  </si>
  <si>
    <t>Masini</t>
  </si>
  <si>
    <t>Felici</t>
  </si>
  <si>
    <t>Stankovic A.</t>
  </si>
  <si>
    <t>Prati</t>
  </si>
  <si>
    <t>Fabbian</t>
  </si>
  <si>
    <t>Sulemana I.</t>
  </si>
  <si>
    <t>Ilkhan</t>
  </si>
  <si>
    <t>Miretti</t>
  </si>
  <si>
    <t>Maleh</t>
  </si>
  <si>
    <t>Messias</t>
  </si>
  <si>
    <t>Deiola</t>
  </si>
  <si>
    <t>Gagliardini</t>
  </si>
  <si>
    <t>Tchato</t>
  </si>
  <si>
    <t>Kofler</t>
  </si>
  <si>
    <t>Franjic</t>
  </si>
  <si>
    <t>Cuenca A.</t>
  </si>
  <si>
    <t>Arizala</t>
  </si>
  <si>
    <t>Ziolkowski</t>
  </si>
  <si>
    <t>Athekame</t>
  </si>
  <si>
    <t>Ndiaye</t>
  </si>
  <si>
    <t>Odenthal</t>
  </si>
  <si>
    <t>Candè</t>
  </si>
  <si>
    <t>Sverko</t>
  </si>
  <si>
    <t>Marin R.</t>
  </si>
  <si>
    <t>Kambwala</t>
  </si>
  <si>
    <t>Cittadini</t>
  </si>
  <si>
    <t>Pongracic</t>
  </si>
  <si>
    <t>Tomori</t>
  </si>
  <si>
    <t>Zappa</t>
  </si>
  <si>
    <t>Terzic</t>
  </si>
  <si>
    <t>Pellegrini Lu.</t>
  </si>
  <si>
    <t>Kolasinac</t>
  </si>
  <si>
    <t>Martin</t>
  </si>
  <si>
    <t>Daffara</t>
  </si>
  <si>
    <t>Havel</t>
  </si>
  <si>
    <t>Frigan</t>
  </si>
  <si>
    <t>Kuhn</t>
  </si>
  <si>
    <t>Sulemana K.</t>
  </si>
  <si>
    <t>Adorante</t>
  </si>
  <si>
    <t>Petagna</t>
  </si>
  <si>
    <t>Chakvetadze</t>
  </si>
  <si>
    <t>Przyborek</t>
  </si>
  <si>
    <t>Aboukhlal</t>
  </si>
  <si>
    <t>Jovanovic</t>
  </si>
  <si>
    <t>Hasa</t>
  </si>
  <si>
    <t>Lipani</t>
  </si>
  <si>
    <t>Gelli F.</t>
  </si>
  <si>
    <t>Boloca</t>
  </si>
  <si>
    <t>Ciurria</t>
  </si>
  <si>
    <t>Aurelio</t>
  </si>
  <si>
    <t>Akpoguma</t>
  </si>
  <si>
    <t>Alhassane</t>
  </si>
  <si>
    <t>Ndaba</t>
  </si>
  <si>
    <t>Otoa</t>
  </si>
  <si>
    <t>Moreno M.</t>
  </si>
  <si>
    <t>Goglichidze</t>
  </si>
  <si>
    <t>Ebosse</t>
  </si>
  <si>
    <t>Casale</t>
  </si>
  <si>
    <t>Lazzari</t>
  </si>
  <si>
    <t>Sabelli</t>
  </si>
  <si>
    <t>Biraghi</t>
  </si>
  <si>
    <t>Mascardi</t>
  </si>
  <si>
    <t>Thiam</t>
  </si>
  <si>
    <t>Provedel</t>
  </si>
  <si>
    <t>Milinkovic-Savic V.</t>
  </si>
  <si>
    <t>Perin</t>
  </si>
  <si>
    <t>Enem</t>
  </si>
  <si>
    <t>Buksa</t>
  </si>
  <si>
    <t>Giovane</t>
  </si>
  <si>
    <t>Bayo V.</t>
  </si>
  <si>
    <t>Vaz</t>
  </si>
  <si>
    <t>Milik</t>
  </si>
  <si>
    <t>Colombo L.</t>
  </si>
  <si>
    <t>Camara A.</t>
  </si>
  <si>
    <t>Cremaschi</t>
  </si>
  <si>
    <t>Venturino</t>
  </si>
  <si>
    <t>Anjorin</t>
  </si>
  <si>
    <t>Zarraga</t>
  </si>
  <si>
    <t>Belahyane</t>
  </si>
  <si>
    <t>Helgason</t>
  </si>
  <si>
    <t>Kone B.</t>
  </si>
  <si>
    <t>Bjarkason</t>
  </si>
  <si>
    <t>Duncan</t>
  </si>
  <si>
    <t>Cinquegrano</t>
  </si>
  <si>
    <t>Diawara S.</t>
  </si>
  <si>
    <t>Bakoune</t>
  </si>
  <si>
    <t>Puczka</t>
  </si>
  <si>
    <t>Mlacic</t>
  </si>
  <si>
    <t>Idrissi R.</t>
  </si>
  <si>
    <t>Jean</t>
  </si>
  <si>
    <t>Marianucci</t>
  </si>
  <si>
    <t>Sagrado</t>
  </si>
  <si>
    <t>Carboni F.</t>
  </si>
  <si>
    <t>Cabal</t>
  </si>
  <si>
    <t>Terracciano F.</t>
  </si>
  <si>
    <t>B/Dd/Ds</t>
  </si>
  <si>
    <t>De Silvestri</t>
  </si>
  <si>
    <t>Rugani</t>
  </si>
  <si>
    <t>Robinho Junior</t>
  </si>
  <si>
    <t>De Martis</t>
  </si>
  <si>
    <t>Lauberbach</t>
  </si>
  <si>
    <t>Lisman</t>
  </si>
  <si>
    <t>Albarracin</t>
  </si>
  <si>
    <t>Trepy</t>
  </si>
  <si>
    <t>Moro L.</t>
  </si>
  <si>
    <t>Azon</t>
  </si>
  <si>
    <t>Libra</t>
  </si>
  <si>
    <t>Sierro</t>
  </si>
  <si>
    <t>Foe Ondoa</t>
  </si>
  <si>
    <t>Comotto</t>
  </si>
  <si>
    <t>Laerke</t>
  </si>
  <si>
    <t>Dagasso</t>
  </si>
  <si>
    <t>El Azzouzi A.</t>
  </si>
  <si>
    <t>Lahdo</t>
  </si>
  <si>
    <t>Fofana Sa.</t>
  </si>
  <si>
    <t>Liteta</t>
  </si>
  <si>
    <t>Iannoni</t>
  </si>
  <si>
    <t>Forson O.</t>
  </si>
  <si>
    <t>Kaba</t>
  </si>
  <si>
    <t>Ciervo</t>
  </si>
  <si>
    <t>Drobnic</t>
  </si>
  <si>
    <t>Maye</t>
  </si>
  <si>
    <t>Omar Fayed</t>
  </si>
  <si>
    <t>Corrado</t>
  </si>
  <si>
    <t>Oyono J.</t>
  </si>
  <si>
    <t>Gelli J.</t>
  </si>
  <si>
    <t>Gomes</t>
  </si>
  <si>
    <t>Macchioni</t>
  </si>
  <si>
    <t>Raterink</t>
  </si>
  <si>
    <t>Perez M.</t>
  </si>
  <si>
    <t>Pieragnolo</t>
  </si>
  <si>
    <t>Dembelè A.</t>
  </si>
  <si>
    <t>Vogliacco</t>
  </si>
  <si>
    <t>Matturro</t>
  </si>
  <si>
    <t>Missori</t>
  </si>
  <si>
    <t>Amey</t>
  </si>
  <si>
    <t>Antov</t>
  </si>
  <si>
    <t>Goldaniga</t>
  </si>
  <si>
    <t>Patric</t>
  </si>
  <si>
    <t>Pompei</t>
  </si>
  <si>
    <t>Mrozek</t>
  </si>
  <si>
    <t>Grabara</t>
  </si>
  <si>
    <t>Pisseri</t>
  </si>
  <si>
    <t>Penev</t>
  </si>
  <si>
    <t>Vismara</t>
  </si>
  <si>
    <t>Renzetti</t>
  </si>
  <si>
    <t>Happonen</t>
  </si>
  <si>
    <t>Pozzi</t>
  </si>
  <si>
    <t>Strajnar</t>
  </si>
  <si>
    <t>Lolic</t>
  </si>
  <si>
    <t>Desplanches</t>
  </si>
  <si>
    <t>Siviero</t>
  </si>
  <si>
    <t>Motta</t>
  </si>
  <si>
    <t>Pessina Mas.</t>
  </si>
  <si>
    <t>De Marzi</t>
  </si>
  <si>
    <t>Torriani</t>
  </si>
  <si>
    <t>Pizzignacco</t>
  </si>
  <si>
    <t>Grandi</t>
  </si>
  <si>
    <t>Sherri</t>
  </si>
  <si>
    <t>Stolz</t>
  </si>
  <si>
    <t>Samooja</t>
  </si>
  <si>
    <t>Christensen O.</t>
  </si>
  <si>
    <t>Piana</t>
  </si>
  <si>
    <t>Paleari</t>
  </si>
  <si>
    <t>Montipò</t>
  </si>
  <si>
    <t>Ciocci</t>
  </si>
  <si>
    <t>Turati</t>
  </si>
  <si>
    <t>Russo A.</t>
  </si>
  <si>
    <t>Bleve</t>
  </si>
  <si>
    <t>Ghidotti</t>
  </si>
  <si>
    <t>Contini</t>
  </si>
  <si>
    <t>Terracciano</t>
  </si>
  <si>
    <t>Vigorito</t>
  </si>
  <si>
    <t>Fruchtl</t>
  </si>
  <si>
    <t>Rossi F.</t>
  </si>
  <si>
    <t>Satalino</t>
  </si>
  <si>
    <t>Pinsoglio</t>
  </si>
  <si>
    <t>Di Gennaro</t>
  </si>
  <si>
    <t>Gollini</t>
  </si>
  <si>
    <t>Padelli</t>
  </si>
  <si>
    <t>Sommariva</t>
  </si>
  <si>
    <t>Lezzerini</t>
  </si>
  <si>
    <t>Sportiello</t>
  </si>
  <si>
    <t>Radunovic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</si>
</sst>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6"/>
  <sheetViews>
    <sheetView tabSelected="1" topLeftCell="C583" workbookViewId="0">
      <selection activeCell="C596" sqref="A297:XFD596"/>
    </sheetView>
  </sheetViews>
  <sheetFormatPr defaultRowHeight="14.25" x14ac:dyDescent="0.45"/>
  <cols>
    <col min="1" max="1" width="4.73046875" bestFit="1" customWidth="1"/>
    <col min="2" max="2" width="15.3984375" bestFit="1" customWidth="1"/>
    <col min="12" max="12" width="9.06640625" style="1"/>
    <col min="13" max="13" width="21.1328125" bestFit="1" customWidth="1"/>
    <col min="14" max="14" width="9.06640625" style="1"/>
    <col min="16" max="16" width="6.265625" style="1" customWidth="1"/>
    <col min="17" max="17" width="4.33203125" style="1" bestFit="1" customWidth="1"/>
    <col min="18" max="18" width="7.6640625" style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1" t="s">
        <v>13</v>
      </c>
    </row>
    <row r="2" spans="1:15" x14ac:dyDescent="0.45">
      <c r="A2">
        <v>7629</v>
      </c>
      <c r="B2" t="s">
        <v>657</v>
      </c>
      <c r="C2" t="s">
        <v>15</v>
      </c>
      <c r="D2" t="s">
        <v>62</v>
      </c>
      <c r="E2">
        <v>18</v>
      </c>
      <c r="F2" t="s">
        <v>33</v>
      </c>
      <c r="G2" t="s">
        <v>49</v>
      </c>
      <c r="H2">
        <v>0</v>
      </c>
      <c r="I2">
        <v>0</v>
      </c>
      <c r="J2">
        <v>0</v>
      </c>
      <c r="K2">
        <v>1</v>
      </c>
      <c r="L2" s="1">
        <v>1</v>
      </c>
      <c r="O2" t="e">
        <f>L2/N2</f>
        <v>#DIV/0!</v>
      </c>
    </row>
    <row r="3" spans="1:15" x14ac:dyDescent="0.45">
      <c r="A3">
        <v>7628</v>
      </c>
      <c r="B3" t="s">
        <v>658</v>
      </c>
      <c r="C3" t="s">
        <v>15</v>
      </c>
      <c r="D3" t="s">
        <v>223</v>
      </c>
      <c r="E3">
        <v>31</v>
      </c>
      <c r="F3" t="s">
        <v>33</v>
      </c>
      <c r="G3" t="s">
        <v>41</v>
      </c>
      <c r="H3">
        <v>0</v>
      </c>
      <c r="I3">
        <v>0</v>
      </c>
      <c r="J3">
        <v>0</v>
      </c>
      <c r="K3">
        <v>1</v>
      </c>
      <c r="L3" s="1">
        <v>1</v>
      </c>
      <c r="O3" t="e">
        <f>L3/N3</f>
        <v>#DIV/0!</v>
      </c>
    </row>
    <row r="4" spans="1:15" x14ac:dyDescent="0.45">
      <c r="A4">
        <v>7627</v>
      </c>
      <c r="B4" t="s">
        <v>617</v>
      </c>
      <c r="C4" t="s">
        <v>15</v>
      </c>
      <c r="D4" t="s">
        <v>62</v>
      </c>
      <c r="E4">
        <v>23</v>
      </c>
      <c r="F4" t="s">
        <v>17</v>
      </c>
      <c r="G4" t="s">
        <v>18</v>
      </c>
      <c r="H4">
        <v>0</v>
      </c>
      <c r="I4">
        <v>0</v>
      </c>
      <c r="J4">
        <v>0</v>
      </c>
      <c r="K4">
        <v>2</v>
      </c>
      <c r="L4" s="1">
        <v>2</v>
      </c>
      <c r="O4" t="e">
        <f>L4/N4</f>
        <v>#DIV/0!</v>
      </c>
    </row>
    <row r="5" spans="1:15" x14ac:dyDescent="0.45">
      <c r="A5">
        <v>7626</v>
      </c>
      <c r="B5" t="s">
        <v>690</v>
      </c>
      <c r="C5" t="s">
        <v>15</v>
      </c>
      <c r="D5" t="s">
        <v>93</v>
      </c>
      <c r="E5">
        <v>20</v>
      </c>
      <c r="F5" t="s">
        <v>108</v>
      </c>
      <c r="G5" t="s">
        <v>109</v>
      </c>
      <c r="H5">
        <v>0</v>
      </c>
      <c r="I5">
        <v>0</v>
      </c>
      <c r="J5">
        <v>0</v>
      </c>
      <c r="K5">
        <v>1</v>
      </c>
      <c r="L5" s="1">
        <v>1</v>
      </c>
      <c r="O5" t="e">
        <f>L5/N5</f>
        <v>#DIV/0!</v>
      </c>
    </row>
    <row r="6" spans="1:15" x14ac:dyDescent="0.45">
      <c r="A6">
        <v>7624</v>
      </c>
      <c r="B6" t="s">
        <v>305</v>
      </c>
      <c r="C6" t="s">
        <v>15</v>
      </c>
      <c r="D6" t="s">
        <v>121</v>
      </c>
      <c r="E6">
        <v>27</v>
      </c>
      <c r="F6" t="s">
        <v>33</v>
      </c>
      <c r="G6" t="s">
        <v>33</v>
      </c>
      <c r="H6">
        <v>1</v>
      </c>
      <c r="I6">
        <v>6</v>
      </c>
      <c r="J6">
        <v>6</v>
      </c>
      <c r="K6">
        <v>10</v>
      </c>
      <c r="L6" s="1">
        <v>6</v>
      </c>
      <c r="O6" t="e">
        <f>L6/N6</f>
        <v>#DIV/0!</v>
      </c>
    </row>
    <row r="7" spans="1:15" x14ac:dyDescent="0.45">
      <c r="A7">
        <v>7619</v>
      </c>
      <c r="B7" t="s">
        <v>288</v>
      </c>
      <c r="C7" t="s">
        <v>15</v>
      </c>
      <c r="D7" t="s">
        <v>276</v>
      </c>
      <c r="E7">
        <v>27</v>
      </c>
      <c r="F7" t="s">
        <v>33</v>
      </c>
      <c r="G7" t="s">
        <v>63</v>
      </c>
      <c r="H7">
        <v>1</v>
      </c>
      <c r="I7">
        <v>5.5</v>
      </c>
      <c r="J7">
        <v>5.5</v>
      </c>
      <c r="K7">
        <v>11</v>
      </c>
      <c r="L7" s="1">
        <v>7</v>
      </c>
      <c r="O7" t="e">
        <f>L7/N7</f>
        <v>#DIV/0!</v>
      </c>
    </row>
    <row r="8" spans="1:15" x14ac:dyDescent="0.45">
      <c r="A8">
        <v>7615</v>
      </c>
      <c r="B8" t="s">
        <v>671</v>
      </c>
      <c r="C8" t="s">
        <v>15</v>
      </c>
      <c r="D8" t="s">
        <v>223</v>
      </c>
      <c r="E8">
        <v>19</v>
      </c>
      <c r="F8" t="s">
        <v>37</v>
      </c>
      <c r="G8" t="s">
        <v>141</v>
      </c>
      <c r="H8">
        <v>1</v>
      </c>
      <c r="I8">
        <v>5.5</v>
      </c>
      <c r="J8">
        <v>5.5</v>
      </c>
      <c r="K8">
        <v>1</v>
      </c>
      <c r="L8" s="1">
        <v>2</v>
      </c>
      <c r="O8" t="e">
        <f>L8/N8</f>
        <v>#DIV/0!</v>
      </c>
    </row>
    <row r="9" spans="1:15" x14ac:dyDescent="0.45">
      <c r="A9">
        <v>7611</v>
      </c>
      <c r="B9" t="s">
        <v>691</v>
      </c>
      <c r="C9" t="s">
        <v>15</v>
      </c>
      <c r="D9" t="s">
        <v>80</v>
      </c>
      <c r="E9">
        <v>26</v>
      </c>
      <c r="F9" t="s">
        <v>108</v>
      </c>
      <c r="G9" t="s">
        <v>109</v>
      </c>
      <c r="H9">
        <v>0</v>
      </c>
      <c r="I9">
        <v>0</v>
      </c>
      <c r="J9">
        <v>0</v>
      </c>
      <c r="K9">
        <v>1</v>
      </c>
      <c r="L9" s="1">
        <v>1</v>
      </c>
      <c r="O9" t="e">
        <f>L9/N9</f>
        <v>#DIV/0!</v>
      </c>
    </row>
    <row r="10" spans="1:15" x14ac:dyDescent="0.45">
      <c r="A10">
        <v>7610</v>
      </c>
      <c r="B10" t="s">
        <v>541</v>
      </c>
      <c r="C10" t="s">
        <v>15</v>
      </c>
      <c r="D10" t="s">
        <v>148</v>
      </c>
      <c r="E10">
        <v>26</v>
      </c>
      <c r="F10" t="s">
        <v>17</v>
      </c>
      <c r="G10" t="s">
        <v>18</v>
      </c>
      <c r="H10">
        <v>0</v>
      </c>
      <c r="I10">
        <v>0</v>
      </c>
      <c r="J10">
        <v>0</v>
      </c>
      <c r="K10">
        <v>4</v>
      </c>
      <c r="L10" s="1">
        <v>4</v>
      </c>
      <c r="O10" t="e">
        <f>L10/N10</f>
        <v>#DIV/0!</v>
      </c>
    </row>
    <row r="11" spans="1:15" x14ac:dyDescent="0.45">
      <c r="A11">
        <v>7605</v>
      </c>
      <c r="B11" t="s">
        <v>563</v>
      </c>
      <c r="C11" t="s">
        <v>15</v>
      </c>
      <c r="D11" t="s">
        <v>148</v>
      </c>
      <c r="E11">
        <v>24</v>
      </c>
      <c r="F11" t="s">
        <v>37</v>
      </c>
      <c r="G11" t="s">
        <v>208</v>
      </c>
      <c r="H11">
        <v>0</v>
      </c>
      <c r="I11">
        <v>0</v>
      </c>
      <c r="J11">
        <v>0</v>
      </c>
      <c r="K11">
        <v>4</v>
      </c>
      <c r="L11" s="1">
        <v>3</v>
      </c>
      <c r="O11" t="e">
        <f>L11/N11</f>
        <v>#DIV/0!</v>
      </c>
    </row>
    <row r="12" spans="1:15" x14ac:dyDescent="0.45">
      <c r="A12">
        <v>7604</v>
      </c>
      <c r="B12" t="s">
        <v>672</v>
      </c>
      <c r="C12" t="s">
        <v>15</v>
      </c>
      <c r="D12" t="s">
        <v>211</v>
      </c>
      <c r="E12">
        <v>20</v>
      </c>
      <c r="F12" t="s">
        <v>37</v>
      </c>
      <c r="G12" t="s">
        <v>248</v>
      </c>
      <c r="H12">
        <v>0</v>
      </c>
      <c r="I12">
        <v>0</v>
      </c>
      <c r="J12">
        <v>0</v>
      </c>
      <c r="K12">
        <v>1</v>
      </c>
      <c r="L12" s="1">
        <v>1</v>
      </c>
      <c r="O12" t="e">
        <f>L12/N12</f>
        <v>#DIV/0!</v>
      </c>
    </row>
    <row r="13" spans="1:15" x14ac:dyDescent="0.45">
      <c r="A13">
        <v>7580</v>
      </c>
      <c r="B13" t="s">
        <v>319</v>
      </c>
      <c r="C13" t="s">
        <v>15</v>
      </c>
      <c r="D13" t="s">
        <v>77</v>
      </c>
      <c r="E13">
        <v>26</v>
      </c>
      <c r="F13" t="s">
        <v>37</v>
      </c>
      <c r="G13" t="s">
        <v>141</v>
      </c>
      <c r="H13">
        <v>0</v>
      </c>
      <c r="I13">
        <v>0</v>
      </c>
      <c r="J13">
        <v>0</v>
      </c>
      <c r="K13">
        <v>10</v>
      </c>
      <c r="L13" s="1">
        <v>6</v>
      </c>
      <c r="O13" t="e">
        <f>L13/N13</f>
        <v>#DIV/0!</v>
      </c>
    </row>
    <row r="14" spans="1:15" x14ac:dyDescent="0.45">
      <c r="A14">
        <v>7579</v>
      </c>
      <c r="B14" t="s">
        <v>437</v>
      </c>
      <c r="C14" t="s">
        <v>15</v>
      </c>
      <c r="D14" t="s">
        <v>242</v>
      </c>
      <c r="E14">
        <v>24</v>
      </c>
      <c r="F14" t="s">
        <v>33</v>
      </c>
      <c r="G14" t="s">
        <v>49</v>
      </c>
      <c r="H14">
        <v>0</v>
      </c>
      <c r="I14">
        <v>0</v>
      </c>
      <c r="J14">
        <v>0</v>
      </c>
      <c r="K14">
        <v>6</v>
      </c>
      <c r="L14" s="1">
        <v>4</v>
      </c>
      <c r="O14" t="e">
        <f>L14/N14</f>
        <v>#DIV/0!</v>
      </c>
    </row>
    <row r="15" spans="1:15" x14ac:dyDescent="0.45">
      <c r="A15">
        <v>7575</v>
      </c>
      <c r="B15" t="s">
        <v>438</v>
      </c>
      <c r="C15" t="s">
        <v>15</v>
      </c>
      <c r="D15" t="s">
        <v>211</v>
      </c>
      <c r="E15">
        <v>19</v>
      </c>
      <c r="F15" t="s">
        <v>33</v>
      </c>
      <c r="G15" t="s">
        <v>33</v>
      </c>
      <c r="H15">
        <v>1</v>
      </c>
      <c r="I15">
        <v>5</v>
      </c>
      <c r="J15">
        <v>5</v>
      </c>
      <c r="K15">
        <v>6</v>
      </c>
      <c r="L15" s="1">
        <v>1</v>
      </c>
      <c r="O15" t="e">
        <f>L15/N15</f>
        <v>#DIV/0!</v>
      </c>
    </row>
    <row r="16" spans="1:15" x14ac:dyDescent="0.45">
      <c r="A16">
        <v>7574</v>
      </c>
      <c r="B16" t="s">
        <v>659</v>
      </c>
      <c r="C16" t="s">
        <v>15</v>
      </c>
      <c r="D16" t="s">
        <v>211</v>
      </c>
      <c r="E16">
        <v>21</v>
      </c>
      <c r="F16" t="s">
        <v>33</v>
      </c>
      <c r="G16" t="s">
        <v>33</v>
      </c>
      <c r="H16">
        <v>1</v>
      </c>
      <c r="I16">
        <v>5.5</v>
      </c>
      <c r="J16">
        <v>5.5</v>
      </c>
      <c r="K16">
        <v>1</v>
      </c>
      <c r="L16" s="1">
        <v>2</v>
      </c>
      <c r="O16" t="e">
        <f>L16/N16</f>
        <v>#DIV/0!</v>
      </c>
    </row>
    <row r="17" spans="1:15" x14ac:dyDescent="0.45">
      <c r="A17">
        <v>7572</v>
      </c>
      <c r="B17" t="s">
        <v>660</v>
      </c>
      <c r="C17" t="s">
        <v>15</v>
      </c>
      <c r="D17" t="s">
        <v>45</v>
      </c>
      <c r="E17">
        <v>18</v>
      </c>
      <c r="F17" t="s">
        <v>33</v>
      </c>
      <c r="G17" t="s">
        <v>41</v>
      </c>
      <c r="H17">
        <v>0</v>
      </c>
      <c r="I17">
        <v>0</v>
      </c>
      <c r="J17">
        <v>0</v>
      </c>
      <c r="K17">
        <v>1</v>
      </c>
      <c r="L17" s="1">
        <v>1</v>
      </c>
      <c r="O17" t="e">
        <f>L17/N17</f>
        <v>#DIV/0!</v>
      </c>
    </row>
    <row r="18" spans="1:15" x14ac:dyDescent="0.45">
      <c r="A18">
        <v>7571</v>
      </c>
      <c r="B18" t="s">
        <v>661</v>
      </c>
      <c r="C18" t="s">
        <v>15</v>
      </c>
      <c r="D18" t="s">
        <v>276</v>
      </c>
      <c r="E18">
        <v>19</v>
      </c>
      <c r="F18" t="s">
        <v>33</v>
      </c>
      <c r="G18" t="s">
        <v>63</v>
      </c>
      <c r="H18">
        <v>0</v>
      </c>
      <c r="I18">
        <v>0</v>
      </c>
      <c r="J18">
        <v>0</v>
      </c>
      <c r="K18">
        <v>1</v>
      </c>
      <c r="L18" s="1">
        <v>1</v>
      </c>
      <c r="O18" t="e">
        <f>L18/N18</f>
        <v>#DIV/0!</v>
      </c>
    </row>
    <row r="19" spans="1:15" x14ac:dyDescent="0.45">
      <c r="A19">
        <v>7568</v>
      </c>
      <c r="B19" t="s">
        <v>650</v>
      </c>
      <c r="C19" t="s">
        <v>15</v>
      </c>
      <c r="D19" t="s">
        <v>223</v>
      </c>
      <c r="E19">
        <v>18</v>
      </c>
      <c r="F19" t="s">
        <v>17</v>
      </c>
      <c r="G19" t="s">
        <v>18</v>
      </c>
      <c r="H19">
        <v>0</v>
      </c>
      <c r="I19">
        <v>0</v>
      </c>
      <c r="J19">
        <v>0</v>
      </c>
      <c r="K19">
        <v>1</v>
      </c>
      <c r="L19" s="1">
        <v>1</v>
      </c>
      <c r="O19" t="e">
        <f>L19/N19</f>
        <v>#DIV/0!</v>
      </c>
    </row>
    <row r="20" spans="1:15" x14ac:dyDescent="0.45">
      <c r="A20">
        <v>7560</v>
      </c>
      <c r="B20" t="s">
        <v>693</v>
      </c>
      <c r="C20" t="s">
        <v>15</v>
      </c>
      <c r="D20" t="s">
        <v>148</v>
      </c>
      <c r="E20">
        <v>35</v>
      </c>
      <c r="F20" t="s">
        <v>108</v>
      </c>
      <c r="G20" t="s">
        <v>109</v>
      </c>
      <c r="H20">
        <v>0</v>
      </c>
      <c r="I20">
        <v>0</v>
      </c>
      <c r="J20">
        <v>0</v>
      </c>
      <c r="K20">
        <v>1</v>
      </c>
      <c r="L20" s="1">
        <v>1</v>
      </c>
      <c r="O20" t="e">
        <f>L20/N20</f>
        <v>#DIV/0!</v>
      </c>
    </row>
    <row r="21" spans="1:15" x14ac:dyDescent="0.45">
      <c r="A21">
        <v>7557</v>
      </c>
      <c r="B21" t="s">
        <v>694</v>
      </c>
      <c r="C21" t="s">
        <v>15</v>
      </c>
      <c r="D21" t="s">
        <v>276</v>
      </c>
      <c r="E21">
        <v>18</v>
      </c>
      <c r="F21" t="s">
        <v>108</v>
      </c>
      <c r="G21" t="s">
        <v>109</v>
      </c>
      <c r="H21">
        <v>0</v>
      </c>
      <c r="I21">
        <v>0</v>
      </c>
      <c r="J21">
        <v>0</v>
      </c>
      <c r="K21">
        <v>1</v>
      </c>
      <c r="L21" s="1">
        <v>1</v>
      </c>
      <c r="O21" t="e">
        <f>L21/N21</f>
        <v>#DIV/0!</v>
      </c>
    </row>
    <row r="22" spans="1:15" x14ac:dyDescent="0.45">
      <c r="A22">
        <v>7553</v>
      </c>
      <c r="B22" t="s">
        <v>673</v>
      </c>
      <c r="C22" t="s">
        <v>15</v>
      </c>
      <c r="D22" t="s">
        <v>148</v>
      </c>
      <c r="E22">
        <v>23</v>
      </c>
      <c r="F22" t="s">
        <v>37</v>
      </c>
      <c r="G22" t="s">
        <v>141</v>
      </c>
      <c r="H22">
        <v>0</v>
      </c>
      <c r="I22">
        <v>0</v>
      </c>
      <c r="J22">
        <v>0</v>
      </c>
      <c r="K22">
        <v>1</v>
      </c>
      <c r="L22" s="1">
        <v>1</v>
      </c>
      <c r="O22" t="e">
        <f>L22/N22</f>
        <v>#DIV/0!</v>
      </c>
    </row>
    <row r="23" spans="1:15" x14ac:dyDescent="0.45">
      <c r="A23">
        <v>7550</v>
      </c>
      <c r="B23" t="s">
        <v>501</v>
      </c>
      <c r="C23" t="s">
        <v>15</v>
      </c>
      <c r="D23" t="s">
        <v>148</v>
      </c>
      <c r="E23">
        <v>31</v>
      </c>
      <c r="F23" t="s">
        <v>33</v>
      </c>
      <c r="G23" t="s">
        <v>41</v>
      </c>
      <c r="H23">
        <v>0</v>
      </c>
      <c r="I23">
        <v>0</v>
      </c>
      <c r="J23">
        <v>0</v>
      </c>
      <c r="K23">
        <v>5</v>
      </c>
      <c r="L23" s="1">
        <v>4</v>
      </c>
      <c r="O23" t="e">
        <f>L23/N23</f>
        <v>#DIV/0!</v>
      </c>
    </row>
    <row r="24" spans="1:15" x14ac:dyDescent="0.45">
      <c r="A24">
        <v>7548</v>
      </c>
      <c r="B24" t="s">
        <v>600</v>
      </c>
      <c r="C24" t="s">
        <v>15</v>
      </c>
      <c r="D24" t="s">
        <v>242</v>
      </c>
      <c r="E24">
        <v>26</v>
      </c>
      <c r="F24" t="s">
        <v>37</v>
      </c>
      <c r="G24" t="s">
        <v>255</v>
      </c>
      <c r="H24">
        <v>0</v>
      </c>
      <c r="I24">
        <v>0</v>
      </c>
      <c r="J24">
        <v>0</v>
      </c>
      <c r="K24">
        <v>3</v>
      </c>
      <c r="L24" s="1">
        <v>1</v>
      </c>
      <c r="O24" t="e">
        <f>L24/N24</f>
        <v>#DIV/0!</v>
      </c>
    </row>
    <row r="25" spans="1:15" x14ac:dyDescent="0.45">
      <c r="A25">
        <v>7545</v>
      </c>
      <c r="B25" t="s">
        <v>695</v>
      </c>
      <c r="C25" t="s">
        <v>118</v>
      </c>
      <c r="D25" t="s">
        <v>93</v>
      </c>
      <c r="E25">
        <v>23</v>
      </c>
      <c r="F25" t="s">
        <v>108</v>
      </c>
      <c r="G25" t="s">
        <v>109</v>
      </c>
      <c r="H25">
        <v>0</v>
      </c>
      <c r="I25">
        <v>0</v>
      </c>
      <c r="J25">
        <v>0</v>
      </c>
      <c r="K25">
        <v>1</v>
      </c>
      <c r="L25" s="1">
        <v>1</v>
      </c>
      <c r="O25" t="e">
        <f>L25/N25</f>
        <v>#DIV/0!</v>
      </c>
    </row>
    <row r="26" spans="1:15" x14ac:dyDescent="0.45">
      <c r="A26">
        <v>7540</v>
      </c>
      <c r="B26" t="s">
        <v>601</v>
      </c>
      <c r="C26" t="s">
        <v>15</v>
      </c>
      <c r="D26" t="s">
        <v>148</v>
      </c>
      <c r="E26">
        <v>31</v>
      </c>
      <c r="F26" t="s">
        <v>37</v>
      </c>
      <c r="G26" t="s">
        <v>141</v>
      </c>
      <c r="H26">
        <v>0</v>
      </c>
      <c r="I26">
        <v>0</v>
      </c>
      <c r="J26">
        <v>0</v>
      </c>
      <c r="K26">
        <v>3</v>
      </c>
      <c r="L26" s="1">
        <v>2</v>
      </c>
      <c r="O26" t="e">
        <f>L26/N26</f>
        <v>#DIV/0!</v>
      </c>
    </row>
    <row r="27" spans="1:15" x14ac:dyDescent="0.45">
      <c r="A27">
        <v>7538</v>
      </c>
      <c r="B27" t="s">
        <v>513</v>
      </c>
      <c r="C27" t="s">
        <v>15</v>
      </c>
      <c r="D27" t="s">
        <v>221</v>
      </c>
      <c r="E27">
        <v>23</v>
      </c>
      <c r="F27" t="s">
        <v>37</v>
      </c>
      <c r="G27" t="s">
        <v>141</v>
      </c>
      <c r="H27">
        <v>2</v>
      </c>
      <c r="I27">
        <v>4.75</v>
      </c>
      <c r="J27">
        <v>3.5</v>
      </c>
      <c r="K27">
        <v>5</v>
      </c>
      <c r="L27" s="1">
        <v>3</v>
      </c>
      <c r="O27" t="e">
        <f>L27/N27</f>
        <v>#DIV/0!</v>
      </c>
    </row>
    <row r="28" spans="1:15" x14ac:dyDescent="0.45">
      <c r="A28">
        <v>7537</v>
      </c>
      <c r="B28" t="s">
        <v>514</v>
      </c>
      <c r="C28" t="s">
        <v>15</v>
      </c>
      <c r="D28" t="s">
        <v>151</v>
      </c>
      <c r="E28">
        <v>23</v>
      </c>
      <c r="F28" t="s">
        <v>37</v>
      </c>
      <c r="G28" t="s">
        <v>255</v>
      </c>
      <c r="H28">
        <v>0</v>
      </c>
      <c r="I28">
        <v>0</v>
      </c>
      <c r="J28">
        <v>0</v>
      </c>
      <c r="K28">
        <v>5</v>
      </c>
      <c r="L28" s="1">
        <v>3</v>
      </c>
      <c r="O28" t="e">
        <f>L28/N28</f>
        <v>#DIV/0!</v>
      </c>
    </row>
    <row r="29" spans="1:15" x14ac:dyDescent="0.45">
      <c r="A29">
        <v>7536</v>
      </c>
      <c r="B29" t="s">
        <v>439</v>
      </c>
      <c r="C29" t="s">
        <v>15</v>
      </c>
      <c r="D29" t="s">
        <v>223</v>
      </c>
      <c r="E29">
        <v>19</v>
      </c>
      <c r="F29" t="s">
        <v>33</v>
      </c>
      <c r="G29" t="s">
        <v>63</v>
      </c>
      <c r="H29">
        <v>1</v>
      </c>
      <c r="I29">
        <v>6</v>
      </c>
      <c r="J29">
        <v>6</v>
      </c>
      <c r="K29">
        <v>6</v>
      </c>
      <c r="L29" s="1">
        <v>3</v>
      </c>
      <c r="O29" t="e">
        <f>L29/N29</f>
        <v>#DIV/0!</v>
      </c>
    </row>
    <row r="30" spans="1:15" x14ac:dyDescent="0.45">
      <c r="A30">
        <v>7534</v>
      </c>
      <c r="B30" t="s">
        <v>696</v>
      </c>
      <c r="C30" t="s">
        <v>15</v>
      </c>
      <c r="D30" t="s">
        <v>77</v>
      </c>
      <c r="E30">
        <v>20</v>
      </c>
      <c r="F30" t="s">
        <v>108</v>
      </c>
      <c r="G30" t="s">
        <v>109</v>
      </c>
      <c r="H30">
        <v>0</v>
      </c>
      <c r="I30">
        <v>0</v>
      </c>
      <c r="J30">
        <v>0</v>
      </c>
      <c r="K30">
        <v>1</v>
      </c>
      <c r="L30" s="1">
        <v>1</v>
      </c>
      <c r="O30" t="e">
        <f>L30/N30</f>
        <v>#DIV/0!</v>
      </c>
    </row>
    <row r="31" spans="1:15" x14ac:dyDescent="0.45">
      <c r="A31">
        <v>7533</v>
      </c>
      <c r="B31" t="s">
        <v>697</v>
      </c>
      <c r="C31" t="s">
        <v>15</v>
      </c>
      <c r="D31" t="s">
        <v>62</v>
      </c>
      <c r="E31">
        <v>19</v>
      </c>
      <c r="F31" t="s">
        <v>108</v>
      </c>
      <c r="G31" t="s">
        <v>109</v>
      </c>
      <c r="H31">
        <v>0</v>
      </c>
      <c r="I31">
        <v>0</v>
      </c>
      <c r="J31">
        <v>0</v>
      </c>
      <c r="K31">
        <v>1</v>
      </c>
      <c r="L31" s="1">
        <v>1</v>
      </c>
      <c r="O31" t="e">
        <f>L31/N31</f>
        <v>#DIV/0!</v>
      </c>
    </row>
    <row r="32" spans="1:15" x14ac:dyDescent="0.45">
      <c r="A32">
        <v>7532</v>
      </c>
      <c r="B32" t="s">
        <v>564</v>
      </c>
      <c r="C32" t="s">
        <v>15</v>
      </c>
      <c r="D32" t="s">
        <v>242</v>
      </c>
      <c r="E32">
        <v>21</v>
      </c>
      <c r="F32" t="s">
        <v>37</v>
      </c>
      <c r="G32" t="s">
        <v>141</v>
      </c>
      <c r="H32">
        <v>2</v>
      </c>
      <c r="I32">
        <v>6</v>
      </c>
      <c r="J32">
        <v>6</v>
      </c>
      <c r="K32">
        <v>4</v>
      </c>
      <c r="L32" s="1">
        <v>6</v>
      </c>
      <c r="O32" t="e">
        <f>L32/N32</f>
        <v>#DIV/0!</v>
      </c>
    </row>
    <row r="33" spans="1:15" x14ac:dyDescent="0.45">
      <c r="A33">
        <v>7531</v>
      </c>
      <c r="B33" t="s">
        <v>698</v>
      </c>
      <c r="C33" t="s">
        <v>15</v>
      </c>
      <c r="D33" t="s">
        <v>221</v>
      </c>
      <c r="E33">
        <v>26</v>
      </c>
      <c r="F33" t="s">
        <v>108</v>
      </c>
      <c r="G33" t="s">
        <v>109</v>
      </c>
      <c r="H33">
        <v>0</v>
      </c>
      <c r="I33">
        <v>0</v>
      </c>
      <c r="J33">
        <v>0</v>
      </c>
      <c r="K33">
        <v>1</v>
      </c>
      <c r="L33" s="1">
        <v>1</v>
      </c>
      <c r="O33" t="e">
        <f>L33/N33</f>
        <v>#DIV/0!</v>
      </c>
    </row>
    <row r="34" spans="1:15" x14ac:dyDescent="0.45">
      <c r="A34">
        <v>7529</v>
      </c>
      <c r="B34" t="s">
        <v>371</v>
      </c>
      <c r="C34" t="s">
        <v>15</v>
      </c>
      <c r="D34" t="s">
        <v>16</v>
      </c>
      <c r="E34">
        <v>23</v>
      </c>
      <c r="F34" t="s">
        <v>37</v>
      </c>
      <c r="G34" t="s">
        <v>141</v>
      </c>
      <c r="H34">
        <v>1</v>
      </c>
      <c r="I34">
        <v>6</v>
      </c>
      <c r="J34">
        <v>6</v>
      </c>
      <c r="K34">
        <v>8</v>
      </c>
      <c r="L34" s="1">
        <v>8</v>
      </c>
      <c r="O34" t="e">
        <f>L34/N34</f>
        <v>#DIV/0!</v>
      </c>
    </row>
    <row r="35" spans="1:15" x14ac:dyDescent="0.45">
      <c r="A35">
        <v>7528</v>
      </c>
      <c r="B35" t="s">
        <v>502</v>
      </c>
      <c r="C35" t="s">
        <v>15</v>
      </c>
      <c r="D35" t="s">
        <v>62</v>
      </c>
      <c r="E35">
        <v>21</v>
      </c>
      <c r="F35" t="s">
        <v>33</v>
      </c>
      <c r="G35" t="s">
        <v>41</v>
      </c>
      <c r="H35">
        <v>1</v>
      </c>
      <c r="I35">
        <v>5.5</v>
      </c>
      <c r="J35">
        <v>5.5</v>
      </c>
      <c r="K35">
        <v>5</v>
      </c>
      <c r="L35" s="1">
        <v>4</v>
      </c>
      <c r="O35" t="e">
        <f>L35/N35</f>
        <v>#DIV/0!</v>
      </c>
    </row>
    <row r="36" spans="1:15" x14ac:dyDescent="0.45">
      <c r="A36">
        <v>7525</v>
      </c>
      <c r="B36" t="s">
        <v>635</v>
      </c>
      <c r="C36" t="s">
        <v>15</v>
      </c>
      <c r="D36" t="s">
        <v>45</v>
      </c>
      <c r="E36">
        <v>20</v>
      </c>
      <c r="F36" t="s">
        <v>37</v>
      </c>
      <c r="G36" t="s">
        <v>248</v>
      </c>
      <c r="H36">
        <v>0</v>
      </c>
      <c r="I36">
        <v>0</v>
      </c>
      <c r="J36">
        <v>0</v>
      </c>
      <c r="K36">
        <v>2</v>
      </c>
      <c r="L36" s="1">
        <v>1</v>
      </c>
      <c r="O36" t="e">
        <f>L36/N36</f>
        <v>#DIV/0!</v>
      </c>
    </row>
    <row r="37" spans="1:15" x14ac:dyDescent="0.45">
      <c r="A37">
        <v>7483</v>
      </c>
      <c r="B37" t="s">
        <v>602</v>
      </c>
      <c r="C37" t="s">
        <v>15</v>
      </c>
      <c r="D37" t="s">
        <v>62</v>
      </c>
      <c r="E37">
        <v>24</v>
      </c>
      <c r="F37" t="s">
        <v>37</v>
      </c>
      <c r="G37" t="s">
        <v>255</v>
      </c>
      <c r="H37">
        <v>2</v>
      </c>
      <c r="I37">
        <v>5.75</v>
      </c>
      <c r="J37">
        <v>5.75</v>
      </c>
      <c r="K37">
        <v>3</v>
      </c>
      <c r="L37" s="1">
        <v>2</v>
      </c>
      <c r="O37" t="e">
        <f>L37/N37</f>
        <v>#DIV/0!</v>
      </c>
    </row>
    <row r="38" spans="1:15" x14ac:dyDescent="0.45">
      <c r="A38">
        <v>7482</v>
      </c>
      <c r="B38" t="s">
        <v>651</v>
      </c>
      <c r="C38" t="s">
        <v>15</v>
      </c>
      <c r="D38" t="s">
        <v>221</v>
      </c>
      <c r="E38">
        <v>28</v>
      </c>
      <c r="F38" t="s">
        <v>17</v>
      </c>
      <c r="G38" t="s">
        <v>18</v>
      </c>
      <c r="H38">
        <v>1</v>
      </c>
      <c r="I38">
        <v>5.5</v>
      </c>
      <c r="J38">
        <v>5.5</v>
      </c>
      <c r="K38">
        <v>1</v>
      </c>
      <c r="L38" s="1">
        <v>2</v>
      </c>
      <c r="O38" t="e">
        <f>L38/N38</f>
        <v>#DIV/0!</v>
      </c>
    </row>
    <row r="39" spans="1:15" x14ac:dyDescent="0.45">
      <c r="A39">
        <v>7481</v>
      </c>
      <c r="B39" t="s">
        <v>662</v>
      </c>
      <c r="C39" t="s">
        <v>15</v>
      </c>
      <c r="D39" t="s">
        <v>221</v>
      </c>
      <c r="E39">
        <v>22</v>
      </c>
      <c r="F39" t="s">
        <v>33</v>
      </c>
      <c r="G39" t="s">
        <v>33</v>
      </c>
      <c r="H39">
        <v>1</v>
      </c>
      <c r="I39">
        <v>5</v>
      </c>
      <c r="J39">
        <v>4.5</v>
      </c>
      <c r="K39">
        <v>1</v>
      </c>
      <c r="L39" s="1">
        <v>1</v>
      </c>
      <c r="O39" t="e">
        <f>L39/N39</f>
        <v>#DIV/0!</v>
      </c>
    </row>
    <row r="40" spans="1:15" x14ac:dyDescent="0.45">
      <c r="A40">
        <v>7478</v>
      </c>
      <c r="B40" t="s">
        <v>565</v>
      </c>
      <c r="C40" t="s">
        <v>15</v>
      </c>
      <c r="D40" t="s">
        <v>221</v>
      </c>
      <c r="E40">
        <v>26</v>
      </c>
      <c r="F40" t="s">
        <v>37</v>
      </c>
      <c r="G40" t="s">
        <v>325</v>
      </c>
      <c r="H40">
        <v>2</v>
      </c>
      <c r="I40">
        <v>5.75</v>
      </c>
      <c r="J40">
        <v>5.75</v>
      </c>
      <c r="K40">
        <v>4</v>
      </c>
      <c r="L40" s="1">
        <v>2</v>
      </c>
      <c r="O40" t="e">
        <f>L40/N40</f>
        <v>#DIV/0!</v>
      </c>
    </row>
    <row r="41" spans="1:15" x14ac:dyDescent="0.45">
      <c r="A41">
        <v>7477</v>
      </c>
      <c r="B41" t="s">
        <v>623</v>
      </c>
      <c r="C41" t="s">
        <v>15</v>
      </c>
      <c r="D41" t="s">
        <v>211</v>
      </c>
      <c r="E41">
        <v>21</v>
      </c>
      <c r="F41" t="s">
        <v>33</v>
      </c>
      <c r="G41" t="s">
        <v>41</v>
      </c>
      <c r="H41">
        <v>1</v>
      </c>
      <c r="I41">
        <v>5.5</v>
      </c>
      <c r="J41">
        <v>5</v>
      </c>
      <c r="K41">
        <v>2</v>
      </c>
      <c r="L41" s="1">
        <v>2</v>
      </c>
      <c r="O41" t="e">
        <f>L41/N41</f>
        <v>#DIV/0!</v>
      </c>
    </row>
    <row r="42" spans="1:15" x14ac:dyDescent="0.45">
      <c r="A42">
        <v>7476</v>
      </c>
      <c r="B42" t="s">
        <v>636</v>
      </c>
      <c r="C42" t="s">
        <v>15</v>
      </c>
      <c r="D42" t="s">
        <v>211</v>
      </c>
      <c r="E42">
        <v>20</v>
      </c>
      <c r="F42" t="s">
        <v>37</v>
      </c>
      <c r="G42" t="s">
        <v>208</v>
      </c>
      <c r="H42">
        <v>1</v>
      </c>
      <c r="I42">
        <v>6</v>
      </c>
      <c r="J42">
        <v>6</v>
      </c>
      <c r="K42">
        <v>2</v>
      </c>
      <c r="L42" s="1">
        <v>1</v>
      </c>
      <c r="O42" t="e">
        <f>L42/N42</f>
        <v>#DIV/0!</v>
      </c>
    </row>
    <row r="43" spans="1:15" x14ac:dyDescent="0.45">
      <c r="A43">
        <v>7474</v>
      </c>
      <c r="B43" t="s">
        <v>440</v>
      </c>
      <c r="C43" t="s">
        <v>118</v>
      </c>
      <c r="D43" t="s">
        <v>148</v>
      </c>
      <c r="E43">
        <v>25</v>
      </c>
      <c r="F43" t="s">
        <v>33</v>
      </c>
      <c r="G43" t="s">
        <v>33</v>
      </c>
      <c r="H43">
        <v>0</v>
      </c>
      <c r="I43">
        <v>0</v>
      </c>
      <c r="J43">
        <v>0</v>
      </c>
      <c r="K43">
        <v>6</v>
      </c>
      <c r="L43" s="1">
        <v>4</v>
      </c>
      <c r="O43" t="e">
        <f>L43/N43</f>
        <v>#DIV/0!</v>
      </c>
    </row>
    <row r="44" spans="1:15" x14ac:dyDescent="0.45">
      <c r="A44">
        <v>7473</v>
      </c>
      <c r="B44" t="s">
        <v>441</v>
      </c>
      <c r="C44" t="s">
        <v>15</v>
      </c>
      <c r="D44" t="s">
        <v>148</v>
      </c>
      <c r="E44">
        <v>21</v>
      </c>
      <c r="F44" t="s">
        <v>33</v>
      </c>
      <c r="G44" t="s">
        <v>41</v>
      </c>
      <c r="H44">
        <v>2</v>
      </c>
      <c r="I44">
        <v>5.75</v>
      </c>
      <c r="J44">
        <v>5.75</v>
      </c>
      <c r="K44">
        <v>6</v>
      </c>
      <c r="L44" s="1">
        <v>4</v>
      </c>
      <c r="O44" t="e">
        <f>L44/N44</f>
        <v>#DIV/0!</v>
      </c>
    </row>
    <row r="45" spans="1:15" x14ac:dyDescent="0.45">
      <c r="A45">
        <v>7471</v>
      </c>
      <c r="B45" t="s">
        <v>674</v>
      </c>
      <c r="C45" t="s">
        <v>118</v>
      </c>
      <c r="D45" t="s">
        <v>148</v>
      </c>
      <c r="E45">
        <v>26</v>
      </c>
      <c r="F45" t="s">
        <v>37</v>
      </c>
      <c r="G45" t="s">
        <v>255</v>
      </c>
      <c r="H45">
        <v>0</v>
      </c>
      <c r="I45">
        <v>0</v>
      </c>
      <c r="J45">
        <v>0</v>
      </c>
      <c r="K45">
        <v>1</v>
      </c>
      <c r="L45" s="1">
        <v>1</v>
      </c>
      <c r="O45" t="e">
        <f>L45/N45</f>
        <v>#DIV/0!</v>
      </c>
    </row>
    <row r="46" spans="1:15" x14ac:dyDescent="0.45">
      <c r="A46">
        <v>7470</v>
      </c>
      <c r="B46" t="s">
        <v>675</v>
      </c>
      <c r="C46" t="s">
        <v>118</v>
      </c>
      <c r="D46" t="s">
        <v>148</v>
      </c>
      <c r="E46">
        <v>25</v>
      </c>
      <c r="F46" t="s">
        <v>37</v>
      </c>
      <c r="G46" t="s">
        <v>208</v>
      </c>
      <c r="H46">
        <v>0</v>
      </c>
      <c r="I46">
        <v>0</v>
      </c>
      <c r="J46">
        <v>0</v>
      </c>
      <c r="K46">
        <v>1</v>
      </c>
      <c r="L46" s="1">
        <v>1</v>
      </c>
      <c r="O46" t="e">
        <f>L46/N46</f>
        <v>#DIV/0!</v>
      </c>
    </row>
    <row r="47" spans="1:15" x14ac:dyDescent="0.45">
      <c r="A47">
        <v>7468</v>
      </c>
      <c r="B47" t="s">
        <v>676</v>
      </c>
      <c r="C47" t="s">
        <v>118</v>
      </c>
      <c r="D47" t="s">
        <v>148</v>
      </c>
      <c r="E47">
        <v>25</v>
      </c>
      <c r="F47" t="s">
        <v>37</v>
      </c>
      <c r="G47" t="s">
        <v>141</v>
      </c>
      <c r="H47">
        <v>0</v>
      </c>
      <c r="I47">
        <v>0</v>
      </c>
      <c r="J47">
        <v>0</v>
      </c>
      <c r="K47">
        <v>1</v>
      </c>
      <c r="L47" s="1">
        <v>1</v>
      </c>
      <c r="O47" t="e">
        <f>L47/N47</f>
        <v>#DIV/0!</v>
      </c>
    </row>
    <row r="48" spans="1:15" x14ac:dyDescent="0.45">
      <c r="A48">
        <v>7466</v>
      </c>
      <c r="B48" t="s">
        <v>700</v>
      </c>
      <c r="C48" t="s">
        <v>15</v>
      </c>
      <c r="D48" t="s">
        <v>148</v>
      </c>
      <c r="E48">
        <v>22</v>
      </c>
      <c r="F48" t="s">
        <v>108</v>
      </c>
      <c r="G48" t="s">
        <v>109</v>
      </c>
      <c r="H48">
        <v>0</v>
      </c>
      <c r="I48">
        <v>0</v>
      </c>
      <c r="J48">
        <v>0</v>
      </c>
      <c r="K48">
        <v>1</v>
      </c>
      <c r="L48" s="1">
        <v>1</v>
      </c>
      <c r="O48" t="e">
        <f>L48/N48</f>
        <v>#DIV/0!</v>
      </c>
    </row>
    <row r="49" spans="1:15" x14ac:dyDescent="0.45">
      <c r="A49">
        <v>7464</v>
      </c>
      <c r="B49" t="s">
        <v>338</v>
      </c>
      <c r="C49" t="s">
        <v>15</v>
      </c>
      <c r="D49" t="s">
        <v>123</v>
      </c>
      <c r="E49">
        <v>20</v>
      </c>
      <c r="F49" t="s">
        <v>33</v>
      </c>
      <c r="G49" t="s">
        <v>41</v>
      </c>
      <c r="H49">
        <v>3</v>
      </c>
      <c r="I49">
        <v>5.67</v>
      </c>
      <c r="J49">
        <v>5.67</v>
      </c>
      <c r="K49">
        <v>9</v>
      </c>
      <c r="L49" s="1">
        <v>6</v>
      </c>
      <c r="O49" t="e">
        <f>L49/N49</f>
        <v>#DIV/0!</v>
      </c>
    </row>
    <row r="50" spans="1:15" x14ac:dyDescent="0.45">
      <c r="A50">
        <v>7463</v>
      </c>
      <c r="B50" t="s">
        <v>701</v>
      </c>
      <c r="C50" t="s">
        <v>15</v>
      </c>
      <c r="D50" t="s">
        <v>148</v>
      </c>
      <c r="E50">
        <v>23</v>
      </c>
      <c r="F50" t="s">
        <v>108</v>
      </c>
      <c r="G50" t="s">
        <v>109</v>
      </c>
      <c r="H50">
        <v>0</v>
      </c>
      <c r="I50">
        <v>0</v>
      </c>
      <c r="J50">
        <v>0</v>
      </c>
      <c r="K50">
        <v>1</v>
      </c>
      <c r="L50" s="1">
        <v>1</v>
      </c>
      <c r="O50" t="e">
        <f>L50/N50</f>
        <v>#DIV/0!</v>
      </c>
    </row>
    <row r="51" spans="1:15" x14ac:dyDescent="0.45">
      <c r="A51">
        <v>7456</v>
      </c>
      <c r="B51" t="s">
        <v>663</v>
      </c>
      <c r="C51" t="s">
        <v>15</v>
      </c>
      <c r="D51" t="s">
        <v>148</v>
      </c>
      <c r="E51">
        <v>25</v>
      </c>
      <c r="F51" t="s">
        <v>33</v>
      </c>
      <c r="G51" t="s">
        <v>41</v>
      </c>
      <c r="H51">
        <v>0</v>
      </c>
      <c r="I51">
        <v>0</v>
      </c>
      <c r="J51">
        <v>0</v>
      </c>
      <c r="K51">
        <v>1</v>
      </c>
      <c r="L51" s="1">
        <v>1</v>
      </c>
      <c r="O51" t="e">
        <f>L51/N51</f>
        <v>#DIV/0!</v>
      </c>
    </row>
    <row r="52" spans="1:15" x14ac:dyDescent="0.45">
      <c r="A52">
        <v>7454</v>
      </c>
      <c r="B52" t="s">
        <v>677</v>
      </c>
      <c r="C52" t="s">
        <v>15</v>
      </c>
      <c r="D52" t="s">
        <v>221</v>
      </c>
      <c r="E52">
        <v>18</v>
      </c>
      <c r="F52" t="s">
        <v>37</v>
      </c>
      <c r="G52" t="s">
        <v>248</v>
      </c>
      <c r="H52">
        <v>0</v>
      </c>
      <c r="I52">
        <v>0</v>
      </c>
      <c r="J52">
        <v>0</v>
      </c>
      <c r="K52">
        <v>1</v>
      </c>
      <c r="L52" s="1">
        <v>1</v>
      </c>
      <c r="O52" t="e">
        <f>L52/N52</f>
        <v>#DIV/0!</v>
      </c>
    </row>
    <row r="53" spans="1:15" x14ac:dyDescent="0.45">
      <c r="A53">
        <v>7453</v>
      </c>
      <c r="B53" t="s">
        <v>585</v>
      </c>
      <c r="C53" t="s">
        <v>15</v>
      </c>
      <c r="D53" t="s">
        <v>151</v>
      </c>
      <c r="E53">
        <v>23</v>
      </c>
      <c r="F53" t="s">
        <v>17</v>
      </c>
      <c r="G53" t="s">
        <v>18</v>
      </c>
      <c r="H53">
        <v>0</v>
      </c>
      <c r="I53">
        <v>0</v>
      </c>
      <c r="J53">
        <v>0</v>
      </c>
      <c r="K53">
        <v>3</v>
      </c>
      <c r="L53" s="1">
        <v>3</v>
      </c>
      <c r="O53" t="e">
        <f>L53/N53</f>
        <v>#DIV/0!</v>
      </c>
    </row>
    <row r="54" spans="1:15" x14ac:dyDescent="0.45">
      <c r="A54">
        <v>7418</v>
      </c>
      <c r="B54" t="s">
        <v>591</v>
      </c>
      <c r="C54" t="s">
        <v>15</v>
      </c>
      <c r="D54" t="s">
        <v>80</v>
      </c>
      <c r="E54">
        <v>27</v>
      </c>
      <c r="F54" t="s">
        <v>33</v>
      </c>
      <c r="G54" t="s">
        <v>171</v>
      </c>
      <c r="H54">
        <v>0</v>
      </c>
      <c r="I54">
        <v>0</v>
      </c>
      <c r="J54">
        <v>0</v>
      </c>
      <c r="K54">
        <v>3</v>
      </c>
      <c r="L54" s="1">
        <v>1</v>
      </c>
      <c r="O54" t="e">
        <f>L54/N54</f>
        <v>#DIV/0!</v>
      </c>
    </row>
    <row r="55" spans="1:15" x14ac:dyDescent="0.45">
      <c r="A55">
        <v>7413</v>
      </c>
      <c r="B55" t="s">
        <v>637</v>
      </c>
      <c r="C55" t="s">
        <v>15</v>
      </c>
      <c r="D55" t="s">
        <v>151</v>
      </c>
      <c r="E55">
        <v>21</v>
      </c>
      <c r="F55" t="s">
        <v>37</v>
      </c>
      <c r="G55" t="s">
        <v>255</v>
      </c>
      <c r="H55">
        <v>0</v>
      </c>
      <c r="I55">
        <v>0</v>
      </c>
      <c r="J55">
        <v>0</v>
      </c>
      <c r="K55">
        <v>2</v>
      </c>
      <c r="L55" s="1">
        <v>1</v>
      </c>
      <c r="O55" t="e">
        <f>L55/N55</f>
        <v>#DIV/0!</v>
      </c>
    </row>
    <row r="56" spans="1:15" x14ac:dyDescent="0.45">
      <c r="A56">
        <v>7411</v>
      </c>
      <c r="B56" t="s">
        <v>584</v>
      </c>
      <c r="C56" t="s">
        <v>15</v>
      </c>
      <c r="D56" t="s">
        <v>223</v>
      </c>
      <c r="E56">
        <v>22</v>
      </c>
      <c r="F56" t="s">
        <v>108</v>
      </c>
      <c r="G56" t="s">
        <v>109</v>
      </c>
      <c r="H56">
        <v>0</v>
      </c>
      <c r="I56">
        <v>0</v>
      </c>
      <c r="J56">
        <v>0</v>
      </c>
      <c r="K56">
        <v>4</v>
      </c>
      <c r="L56" s="1">
        <v>6</v>
      </c>
      <c r="O56" t="e">
        <f>L56/N56</f>
        <v>#DIV/0!</v>
      </c>
    </row>
    <row r="57" spans="1:15" x14ac:dyDescent="0.45">
      <c r="A57">
        <v>7409</v>
      </c>
      <c r="B57" t="s">
        <v>442</v>
      </c>
      <c r="C57" t="s">
        <v>15</v>
      </c>
      <c r="D57" t="s">
        <v>151</v>
      </c>
      <c r="E57">
        <v>21</v>
      </c>
      <c r="F57" t="s">
        <v>33</v>
      </c>
      <c r="G57" t="s">
        <v>171</v>
      </c>
      <c r="H57">
        <v>2</v>
      </c>
      <c r="I57">
        <v>5.5</v>
      </c>
      <c r="J57">
        <v>5.5</v>
      </c>
      <c r="K57">
        <v>6</v>
      </c>
      <c r="L57" s="1">
        <v>5</v>
      </c>
      <c r="O57" t="e">
        <f>L57/N57</f>
        <v>#DIV/0!</v>
      </c>
    </row>
    <row r="58" spans="1:15" x14ac:dyDescent="0.45">
      <c r="A58">
        <v>7408</v>
      </c>
      <c r="B58" t="s">
        <v>652</v>
      </c>
      <c r="C58" t="s">
        <v>15</v>
      </c>
      <c r="D58" t="s">
        <v>221</v>
      </c>
      <c r="E58">
        <v>20</v>
      </c>
      <c r="F58" t="s">
        <v>17</v>
      </c>
      <c r="G58" t="s">
        <v>63</v>
      </c>
      <c r="H58">
        <v>0</v>
      </c>
      <c r="I58">
        <v>0</v>
      </c>
      <c r="J58">
        <v>0</v>
      </c>
      <c r="K58">
        <v>1</v>
      </c>
      <c r="L58" s="1">
        <v>1</v>
      </c>
      <c r="O58" t="e">
        <f>L58/N58</f>
        <v>#DIV/0!</v>
      </c>
    </row>
    <row r="59" spans="1:15" x14ac:dyDescent="0.45">
      <c r="A59">
        <v>7407</v>
      </c>
      <c r="B59" t="s">
        <v>566</v>
      </c>
      <c r="C59" t="s">
        <v>118</v>
      </c>
      <c r="D59" t="s">
        <v>32</v>
      </c>
      <c r="E59">
        <v>19</v>
      </c>
      <c r="F59" t="s">
        <v>37</v>
      </c>
      <c r="G59" t="s">
        <v>248</v>
      </c>
      <c r="H59">
        <v>0</v>
      </c>
      <c r="I59">
        <v>0</v>
      </c>
      <c r="J59">
        <v>0</v>
      </c>
      <c r="K59">
        <v>4</v>
      </c>
      <c r="L59" s="1">
        <v>1</v>
      </c>
      <c r="O59" t="e">
        <f>L59/N59</f>
        <v>#DIV/0!</v>
      </c>
    </row>
    <row r="60" spans="1:15" x14ac:dyDescent="0.45">
      <c r="A60">
        <v>7396</v>
      </c>
      <c r="B60" t="s">
        <v>678</v>
      </c>
      <c r="C60" t="s">
        <v>118</v>
      </c>
      <c r="D60" t="s">
        <v>85</v>
      </c>
      <c r="E60">
        <v>20</v>
      </c>
      <c r="F60" t="s">
        <v>37</v>
      </c>
      <c r="G60" t="s">
        <v>141</v>
      </c>
      <c r="H60">
        <v>0</v>
      </c>
      <c r="I60">
        <v>0</v>
      </c>
      <c r="J60">
        <v>0</v>
      </c>
      <c r="K60">
        <v>1</v>
      </c>
      <c r="L60" s="1">
        <v>1</v>
      </c>
      <c r="O60" t="e">
        <f>L60/N60</f>
        <v>#DIV/0!</v>
      </c>
    </row>
    <row r="61" spans="1:15" x14ac:dyDescent="0.45">
      <c r="A61">
        <v>7392</v>
      </c>
      <c r="B61" t="s">
        <v>624</v>
      </c>
      <c r="C61" t="s">
        <v>118</v>
      </c>
      <c r="D61" t="s">
        <v>80</v>
      </c>
      <c r="E61">
        <v>18</v>
      </c>
      <c r="F61" t="s">
        <v>33</v>
      </c>
      <c r="G61" t="s">
        <v>41</v>
      </c>
      <c r="H61">
        <v>0</v>
      </c>
      <c r="I61">
        <v>0</v>
      </c>
      <c r="J61">
        <v>0</v>
      </c>
      <c r="K61">
        <v>2</v>
      </c>
      <c r="L61" s="1">
        <v>1</v>
      </c>
      <c r="O61" t="e">
        <f>L61/N61</f>
        <v>#DIV/0!</v>
      </c>
    </row>
    <row r="62" spans="1:15" x14ac:dyDescent="0.45">
      <c r="A62">
        <v>7357</v>
      </c>
      <c r="B62" t="s">
        <v>664</v>
      </c>
      <c r="C62" t="s">
        <v>15</v>
      </c>
      <c r="D62" t="s">
        <v>32</v>
      </c>
      <c r="E62">
        <v>19</v>
      </c>
      <c r="F62" t="s">
        <v>33</v>
      </c>
      <c r="G62" t="s">
        <v>49</v>
      </c>
      <c r="H62">
        <v>0</v>
      </c>
      <c r="I62">
        <v>0</v>
      </c>
      <c r="J62">
        <v>0</v>
      </c>
      <c r="K62">
        <v>1</v>
      </c>
      <c r="L62" s="1">
        <v>1</v>
      </c>
      <c r="O62" t="e">
        <f>L62/N62</f>
        <v>#DIV/0!</v>
      </c>
    </row>
    <row r="63" spans="1:15" x14ac:dyDescent="0.45">
      <c r="A63">
        <v>7356</v>
      </c>
      <c r="B63" t="s">
        <v>638</v>
      </c>
      <c r="C63" t="s">
        <v>118</v>
      </c>
      <c r="D63" t="s">
        <v>80</v>
      </c>
      <c r="E63">
        <v>19</v>
      </c>
      <c r="F63" t="s">
        <v>37</v>
      </c>
      <c r="G63" t="s">
        <v>141</v>
      </c>
      <c r="H63">
        <v>0</v>
      </c>
      <c r="I63">
        <v>0</v>
      </c>
      <c r="J63">
        <v>0</v>
      </c>
      <c r="K63">
        <v>2</v>
      </c>
      <c r="L63" s="1">
        <v>1</v>
      </c>
      <c r="O63" t="e">
        <f>L63/N63</f>
        <v>#DIV/0!</v>
      </c>
    </row>
    <row r="64" spans="1:15" x14ac:dyDescent="0.45">
      <c r="A64">
        <v>7349</v>
      </c>
      <c r="B64" t="s">
        <v>543</v>
      </c>
      <c r="C64" t="s">
        <v>15</v>
      </c>
      <c r="D64" t="s">
        <v>121</v>
      </c>
      <c r="E64">
        <v>27</v>
      </c>
      <c r="F64" t="s">
        <v>17</v>
      </c>
      <c r="G64" t="s">
        <v>18</v>
      </c>
      <c r="H64">
        <v>1</v>
      </c>
      <c r="I64">
        <v>5.5</v>
      </c>
      <c r="J64">
        <v>5.5</v>
      </c>
      <c r="K64">
        <v>4</v>
      </c>
      <c r="L64" s="1">
        <v>4</v>
      </c>
      <c r="O64" t="e">
        <f>L64/N64</f>
        <v>#DIV/0!</v>
      </c>
    </row>
    <row r="65" spans="1:15" x14ac:dyDescent="0.45">
      <c r="A65">
        <v>7346</v>
      </c>
      <c r="B65" t="s">
        <v>679</v>
      </c>
      <c r="C65" t="s">
        <v>118</v>
      </c>
      <c r="D65" t="s">
        <v>242</v>
      </c>
      <c r="E65">
        <v>20</v>
      </c>
      <c r="F65" t="s">
        <v>37</v>
      </c>
      <c r="G65" t="s">
        <v>208</v>
      </c>
      <c r="H65">
        <v>0</v>
      </c>
      <c r="I65">
        <v>0</v>
      </c>
      <c r="J65">
        <v>0</v>
      </c>
      <c r="K65">
        <v>1</v>
      </c>
      <c r="L65" s="1">
        <v>1</v>
      </c>
      <c r="O65" t="e">
        <f>L65/N65</f>
        <v>#DIV/0!</v>
      </c>
    </row>
    <row r="66" spans="1:15" x14ac:dyDescent="0.45">
      <c r="A66">
        <v>7345</v>
      </c>
      <c r="B66" t="s">
        <v>592</v>
      </c>
      <c r="C66" t="s">
        <v>15</v>
      </c>
      <c r="D66" t="s">
        <v>77</v>
      </c>
      <c r="E66">
        <v>19</v>
      </c>
      <c r="F66" t="s">
        <v>33</v>
      </c>
      <c r="G66" t="s">
        <v>171</v>
      </c>
      <c r="H66">
        <v>0</v>
      </c>
      <c r="I66">
        <v>0</v>
      </c>
      <c r="J66">
        <v>0</v>
      </c>
      <c r="K66">
        <v>3</v>
      </c>
      <c r="L66" s="1">
        <v>1</v>
      </c>
      <c r="O66" t="e">
        <f>L66/N66</f>
        <v>#DIV/0!</v>
      </c>
    </row>
    <row r="67" spans="1:15" x14ac:dyDescent="0.45">
      <c r="A67">
        <v>7341</v>
      </c>
      <c r="B67" t="s">
        <v>443</v>
      </c>
      <c r="C67" t="s">
        <v>15</v>
      </c>
      <c r="D67" t="s">
        <v>151</v>
      </c>
      <c r="E67">
        <v>21</v>
      </c>
      <c r="F67" t="s">
        <v>33</v>
      </c>
      <c r="G67" t="s">
        <v>41</v>
      </c>
      <c r="H67">
        <v>2</v>
      </c>
      <c r="I67">
        <v>6</v>
      </c>
      <c r="J67">
        <v>6</v>
      </c>
      <c r="K67">
        <v>6</v>
      </c>
      <c r="L67" s="1">
        <v>4</v>
      </c>
      <c r="O67" t="e">
        <f>L67/N67</f>
        <v>#DIV/0!</v>
      </c>
    </row>
    <row r="68" spans="1:15" x14ac:dyDescent="0.45">
      <c r="A68">
        <v>7338</v>
      </c>
      <c r="B68" t="s">
        <v>653</v>
      </c>
      <c r="C68" t="s">
        <v>118</v>
      </c>
      <c r="D68" t="s">
        <v>242</v>
      </c>
      <c r="E68">
        <v>21</v>
      </c>
      <c r="F68" t="s">
        <v>17</v>
      </c>
      <c r="G68" t="s">
        <v>17</v>
      </c>
      <c r="H68">
        <v>0</v>
      </c>
      <c r="I68">
        <v>0</v>
      </c>
      <c r="J68">
        <v>0</v>
      </c>
      <c r="K68">
        <v>1</v>
      </c>
      <c r="L68" s="1">
        <v>1</v>
      </c>
      <c r="O68" t="e">
        <f>L68/N68</f>
        <v>#DIV/0!</v>
      </c>
    </row>
    <row r="69" spans="1:15" x14ac:dyDescent="0.45">
      <c r="A69">
        <v>7329</v>
      </c>
      <c r="B69" t="s">
        <v>407</v>
      </c>
      <c r="C69" t="s">
        <v>15</v>
      </c>
      <c r="D69" t="s">
        <v>85</v>
      </c>
      <c r="E69">
        <v>22</v>
      </c>
      <c r="F69" t="s">
        <v>37</v>
      </c>
      <c r="G69" t="s">
        <v>255</v>
      </c>
      <c r="H69">
        <v>1</v>
      </c>
      <c r="I69">
        <v>6</v>
      </c>
      <c r="J69">
        <v>6</v>
      </c>
      <c r="K69">
        <v>7</v>
      </c>
      <c r="L69" s="1">
        <v>6</v>
      </c>
      <c r="O69" t="e">
        <f>L69/N69</f>
        <v>#DIV/0!</v>
      </c>
    </row>
    <row r="70" spans="1:15" x14ac:dyDescent="0.45">
      <c r="A70">
        <v>7326</v>
      </c>
      <c r="B70" t="s">
        <v>467</v>
      </c>
      <c r="C70" t="s">
        <v>15</v>
      </c>
      <c r="D70" t="s">
        <v>62</v>
      </c>
      <c r="E70">
        <v>21</v>
      </c>
      <c r="F70" t="s">
        <v>37</v>
      </c>
      <c r="G70" t="s">
        <v>178</v>
      </c>
      <c r="H70">
        <v>2</v>
      </c>
      <c r="I70">
        <v>6</v>
      </c>
      <c r="J70">
        <v>6</v>
      </c>
      <c r="K70">
        <v>6</v>
      </c>
      <c r="L70" s="1">
        <v>3</v>
      </c>
      <c r="O70" t="e">
        <f>L70/N70</f>
        <v>#DIV/0!</v>
      </c>
    </row>
    <row r="71" spans="1:15" x14ac:dyDescent="0.45">
      <c r="A71">
        <v>7322</v>
      </c>
      <c r="B71" t="s">
        <v>444</v>
      </c>
      <c r="C71" t="s">
        <v>15</v>
      </c>
      <c r="D71" t="s">
        <v>276</v>
      </c>
      <c r="E71">
        <v>22</v>
      </c>
      <c r="F71" t="s">
        <v>33</v>
      </c>
      <c r="G71" t="s">
        <v>41</v>
      </c>
      <c r="H71">
        <v>3</v>
      </c>
      <c r="I71">
        <v>5.5</v>
      </c>
      <c r="J71">
        <v>5.33</v>
      </c>
      <c r="K71">
        <v>6</v>
      </c>
      <c r="L71" s="1">
        <v>4</v>
      </c>
      <c r="O71" t="e">
        <f>L71/N71</f>
        <v>#DIV/0!</v>
      </c>
    </row>
    <row r="72" spans="1:15" x14ac:dyDescent="0.45">
      <c r="A72">
        <v>7319</v>
      </c>
      <c r="B72" t="s">
        <v>665</v>
      </c>
      <c r="C72" t="s">
        <v>15</v>
      </c>
      <c r="D72" t="s">
        <v>276</v>
      </c>
      <c r="E72">
        <v>23</v>
      </c>
      <c r="F72" t="s">
        <v>33</v>
      </c>
      <c r="G72" t="s">
        <v>41</v>
      </c>
      <c r="H72">
        <v>0</v>
      </c>
      <c r="I72">
        <v>0</v>
      </c>
      <c r="J72">
        <v>0</v>
      </c>
      <c r="K72">
        <v>1</v>
      </c>
      <c r="L72" s="1">
        <v>1</v>
      </c>
      <c r="O72" t="e">
        <f>L72/N72</f>
        <v>#DIV/0!</v>
      </c>
    </row>
    <row r="73" spans="1:15" x14ac:dyDescent="0.45">
      <c r="A73">
        <v>7318</v>
      </c>
      <c r="B73" t="s">
        <v>503</v>
      </c>
      <c r="C73" t="s">
        <v>15</v>
      </c>
      <c r="D73" t="s">
        <v>276</v>
      </c>
      <c r="E73">
        <v>26</v>
      </c>
      <c r="F73" t="s">
        <v>33</v>
      </c>
      <c r="G73" t="s">
        <v>49</v>
      </c>
      <c r="H73">
        <v>0</v>
      </c>
      <c r="I73">
        <v>0</v>
      </c>
      <c r="J73">
        <v>0</v>
      </c>
      <c r="K73">
        <v>5</v>
      </c>
      <c r="L73" s="1">
        <v>4</v>
      </c>
      <c r="O73" t="e">
        <f>L73/N73</f>
        <v>#DIV/0!</v>
      </c>
    </row>
    <row r="74" spans="1:15" x14ac:dyDescent="0.45">
      <c r="A74">
        <v>7317</v>
      </c>
      <c r="B74" t="s">
        <v>654</v>
      </c>
      <c r="C74" t="s">
        <v>15</v>
      </c>
      <c r="D74" t="s">
        <v>242</v>
      </c>
      <c r="E74">
        <v>20</v>
      </c>
      <c r="F74" t="s">
        <v>17</v>
      </c>
      <c r="G74" t="s">
        <v>18</v>
      </c>
      <c r="H74">
        <v>0</v>
      </c>
      <c r="I74">
        <v>0</v>
      </c>
      <c r="J74">
        <v>0</v>
      </c>
      <c r="K74">
        <v>1</v>
      </c>
      <c r="L74" s="1">
        <v>1</v>
      </c>
      <c r="O74" t="e">
        <f>L74/N74</f>
        <v>#DIV/0!</v>
      </c>
    </row>
    <row r="75" spans="1:15" x14ac:dyDescent="0.45">
      <c r="A75">
        <v>7313</v>
      </c>
      <c r="B75" t="s">
        <v>286</v>
      </c>
      <c r="C75" t="s">
        <v>118</v>
      </c>
      <c r="D75" t="s">
        <v>77</v>
      </c>
      <c r="E75">
        <v>23</v>
      </c>
      <c r="F75" t="s">
        <v>17</v>
      </c>
      <c r="G75" t="s">
        <v>18</v>
      </c>
      <c r="H75">
        <v>0</v>
      </c>
      <c r="I75">
        <v>0</v>
      </c>
      <c r="J75">
        <v>0</v>
      </c>
      <c r="K75">
        <v>11</v>
      </c>
      <c r="L75" s="1">
        <v>9</v>
      </c>
      <c r="O75" t="e">
        <f>L75/N75</f>
        <v>#DIV/0!</v>
      </c>
    </row>
    <row r="76" spans="1:15" x14ac:dyDescent="0.45">
      <c r="A76">
        <v>7312</v>
      </c>
      <c r="B76" t="s">
        <v>567</v>
      </c>
      <c r="C76" t="s">
        <v>15</v>
      </c>
      <c r="D76" t="s">
        <v>80</v>
      </c>
      <c r="E76">
        <v>21</v>
      </c>
      <c r="F76" t="s">
        <v>37</v>
      </c>
      <c r="G76" t="s">
        <v>255</v>
      </c>
      <c r="H76">
        <v>0</v>
      </c>
      <c r="I76">
        <v>0</v>
      </c>
      <c r="J76">
        <v>0</v>
      </c>
      <c r="K76">
        <v>4</v>
      </c>
      <c r="L76" s="1">
        <v>3</v>
      </c>
      <c r="O76" t="e">
        <f>L76/N76</f>
        <v>#DIV/0!</v>
      </c>
    </row>
    <row r="77" spans="1:15" x14ac:dyDescent="0.45">
      <c r="A77">
        <v>7276</v>
      </c>
      <c r="B77" t="s">
        <v>625</v>
      </c>
      <c r="C77" t="s">
        <v>15</v>
      </c>
      <c r="D77" t="s">
        <v>223</v>
      </c>
      <c r="E77">
        <v>21</v>
      </c>
      <c r="F77" t="s">
        <v>33</v>
      </c>
      <c r="G77" t="s">
        <v>185</v>
      </c>
      <c r="H77">
        <v>1</v>
      </c>
      <c r="I77">
        <v>5.5</v>
      </c>
      <c r="J77">
        <v>5.5</v>
      </c>
      <c r="K77">
        <v>2</v>
      </c>
      <c r="L77" s="1">
        <v>2</v>
      </c>
      <c r="O77" t="e">
        <f>L77/N77</f>
        <v>#DIV/0!</v>
      </c>
    </row>
    <row r="78" spans="1:15" x14ac:dyDescent="0.45">
      <c r="A78">
        <v>7260</v>
      </c>
      <c r="B78" t="s">
        <v>568</v>
      </c>
      <c r="C78" t="s">
        <v>15</v>
      </c>
      <c r="D78" t="s">
        <v>211</v>
      </c>
      <c r="E78">
        <v>21</v>
      </c>
      <c r="F78" t="s">
        <v>37</v>
      </c>
      <c r="G78" t="s">
        <v>141</v>
      </c>
      <c r="H78">
        <v>0</v>
      </c>
      <c r="I78">
        <v>0</v>
      </c>
      <c r="J78">
        <v>0</v>
      </c>
      <c r="K78">
        <v>4</v>
      </c>
      <c r="L78" s="1">
        <v>1</v>
      </c>
      <c r="O78" t="e">
        <f>L78/N78</f>
        <v>#DIV/0!</v>
      </c>
    </row>
    <row r="79" spans="1:15" x14ac:dyDescent="0.45">
      <c r="A79">
        <v>7255</v>
      </c>
      <c r="B79" t="s">
        <v>515</v>
      </c>
      <c r="C79" t="s">
        <v>15</v>
      </c>
      <c r="D79" t="s">
        <v>223</v>
      </c>
      <c r="E79">
        <v>20</v>
      </c>
      <c r="F79" t="s">
        <v>37</v>
      </c>
      <c r="G79" t="s">
        <v>332</v>
      </c>
      <c r="H79">
        <v>2</v>
      </c>
      <c r="I79">
        <v>6</v>
      </c>
      <c r="J79">
        <v>6</v>
      </c>
      <c r="K79">
        <v>5</v>
      </c>
      <c r="L79" s="1">
        <v>4</v>
      </c>
      <c r="O79" t="e">
        <f>L79/N79</f>
        <v>#DIV/0!</v>
      </c>
    </row>
    <row r="80" spans="1:15" x14ac:dyDescent="0.45">
      <c r="A80">
        <v>7253</v>
      </c>
      <c r="B80" t="s">
        <v>411</v>
      </c>
      <c r="C80" t="s">
        <v>15</v>
      </c>
      <c r="D80" t="s">
        <v>221</v>
      </c>
      <c r="E80">
        <v>25</v>
      </c>
      <c r="F80" t="s">
        <v>37</v>
      </c>
      <c r="G80" t="s">
        <v>141</v>
      </c>
      <c r="H80">
        <v>2</v>
      </c>
      <c r="I80">
        <v>5</v>
      </c>
      <c r="J80">
        <v>5</v>
      </c>
      <c r="K80">
        <v>7</v>
      </c>
      <c r="L80" s="1">
        <v>5</v>
      </c>
      <c r="O80" t="e">
        <f>L80/N80</f>
        <v>#DIV/0!</v>
      </c>
    </row>
    <row r="81" spans="1:15" x14ac:dyDescent="0.45">
      <c r="A81">
        <v>7249</v>
      </c>
      <c r="B81" t="s">
        <v>618</v>
      </c>
      <c r="C81" t="s">
        <v>118</v>
      </c>
      <c r="D81" t="s">
        <v>80</v>
      </c>
      <c r="E81">
        <v>30</v>
      </c>
      <c r="F81" t="s">
        <v>17</v>
      </c>
      <c r="G81" t="s">
        <v>18</v>
      </c>
      <c r="H81">
        <v>0</v>
      </c>
      <c r="I81">
        <v>0</v>
      </c>
      <c r="J81">
        <v>0</v>
      </c>
      <c r="K81">
        <v>2</v>
      </c>
      <c r="L81" s="1">
        <v>2</v>
      </c>
      <c r="O81" t="e">
        <f>L81/N81</f>
        <v>#DIV/0!</v>
      </c>
    </row>
    <row r="82" spans="1:15" x14ac:dyDescent="0.45">
      <c r="A82">
        <v>7248</v>
      </c>
      <c r="B82" t="s">
        <v>445</v>
      </c>
      <c r="C82" t="s">
        <v>15</v>
      </c>
      <c r="D82" t="s">
        <v>276</v>
      </c>
      <c r="E82">
        <v>21</v>
      </c>
      <c r="F82" t="s">
        <v>33</v>
      </c>
      <c r="G82" t="s">
        <v>41</v>
      </c>
      <c r="H82">
        <v>2</v>
      </c>
      <c r="I82">
        <v>6</v>
      </c>
      <c r="J82">
        <v>7.5</v>
      </c>
      <c r="K82">
        <v>6</v>
      </c>
      <c r="L82" s="1">
        <v>3</v>
      </c>
      <c r="O82" t="e">
        <f>L82/N82</f>
        <v>#DIV/0!</v>
      </c>
    </row>
    <row r="83" spans="1:15" x14ac:dyDescent="0.45">
      <c r="A83">
        <v>7240</v>
      </c>
      <c r="B83" t="s">
        <v>468</v>
      </c>
      <c r="C83" t="s">
        <v>15</v>
      </c>
      <c r="D83" t="s">
        <v>276</v>
      </c>
      <c r="E83">
        <v>24</v>
      </c>
      <c r="F83" t="s">
        <v>37</v>
      </c>
      <c r="G83" t="s">
        <v>141</v>
      </c>
      <c r="H83">
        <v>3</v>
      </c>
      <c r="I83">
        <v>5.5</v>
      </c>
      <c r="J83">
        <v>5.33</v>
      </c>
      <c r="K83">
        <v>6</v>
      </c>
      <c r="L83" s="1">
        <v>4</v>
      </c>
      <c r="O83" t="e">
        <f>L83/N83</f>
        <v>#DIV/0!</v>
      </c>
    </row>
    <row r="84" spans="1:15" x14ac:dyDescent="0.45">
      <c r="A84">
        <v>7238</v>
      </c>
      <c r="B84" t="s">
        <v>412</v>
      </c>
      <c r="C84" t="s">
        <v>15</v>
      </c>
      <c r="D84" t="s">
        <v>211</v>
      </c>
      <c r="E84">
        <v>20</v>
      </c>
      <c r="F84" t="s">
        <v>37</v>
      </c>
      <c r="G84" t="s">
        <v>178</v>
      </c>
      <c r="H84">
        <v>3</v>
      </c>
      <c r="I84">
        <v>5.83</v>
      </c>
      <c r="J84">
        <v>5.67</v>
      </c>
      <c r="K84">
        <v>7</v>
      </c>
      <c r="L84" s="1">
        <v>4</v>
      </c>
      <c r="O84" t="e">
        <f>L84/N84</f>
        <v>#DIV/0!</v>
      </c>
    </row>
    <row r="85" spans="1:15" x14ac:dyDescent="0.45">
      <c r="A85">
        <v>7232</v>
      </c>
      <c r="B85" t="s">
        <v>550</v>
      </c>
      <c r="C85" t="s">
        <v>15</v>
      </c>
      <c r="D85" t="s">
        <v>221</v>
      </c>
      <c r="E85">
        <v>18</v>
      </c>
      <c r="F85" t="s">
        <v>33</v>
      </c>
      <c r="G85" t="s">
        <v>34</v>
      </c>
      <c r="H85">
        <v>1</v>
      </c>
      <c r="I85">
        <v>6</v>
      </c>
      <c r="J85">
        <v>6</v>
      </c>
      <c r="K85">
        <v>4</v>
      </c>
      <c r="L85" s="1">
        <v>4</v>
      </c>
      <c r="O85" t="e">
        <f>L85/N85</f>
        <v>#DIV/0!</v>
      </c>
    </row>
    <row r="86" spans="1:15" x14ac:dyDescent="0.45">
      <c r="A86">
        <v>7213</v>
      </c>
      <c r="B86" t="s">
        <v>586</v>
      </c>
      <c r="C86" t="s">
        <v>15</v>
      </c>
      <c r="D86" t="s">
        <v>223</v>
      </c>
      <c r="E86">
        <v>23</v>
      </c>
      <c r="F86" t="s">
        <v>17</v>
      </c>
      <c r="G86" t="s">
        <v>17</v>
      </c>
      <c r="H86">
        <v>1</v>
      </c>
      <c r="I86">
        <v>5.5</v>
      </c>
      <c r="J86">
        <v>5.5</v>
      </c>
      <c r="K86">
        <v>3</v>
      </c>
      <c r="L86" s="1">
        <v>4</v>
      </c>
      <c r="O86" t="e">
        <f>L86/N86</f>
        <v>#DIV/0!</v>
      </c>
    </row>
    <row r="87" spans="1:15" x14ac:dyDescent="0.45">
      <c r="A87">
        <v>7211</v>
      </c>
      <c r="B87" t="s">
        <v>569</v>
      </c>
      <c r="C87" t="s">
        <v>118</v>
      </c>
      <c r="D87" t="s">
        <v>45</v>
      </c>
      <c r="E87">
        <v>22</v>
      </c>
      <c r="F87" t="s">
        <v>37</v>
      </c>
      <c r="G87" t="s">
        <v>208</v>
      </c>
      <c r="H87">
        <v>0</v>
      </c>
      <c r="I87">
        <v>0</v>
      </c>
      <c r="J87">
        <v>0</v>
      </c>
      <c r="K87">
        <v>4</v>
      </c>
      <c r="L87" s="1">
        <v>3</v>
      </c>
      <c r="O87" t="e">
        <f>L87/N87</f>
        <v>#DIV/0!</v>
      </c>
    </row>
    <row r="88" spans="1:15" x14ac:dyDescent="0.45">
      <c r="A88">
        <v>7209</v>
      </c>
      <c r="B88" t="s">
        <v>446</v>
      </c>
      <c r="C88" t="s">
        <v>118</v>
      </c>
      <c r="D88" t="s">
        <v>223</v>
      </c>
      <c r="E88">
        <v>24</v>
      </c>
      <c r="F88" t="s">
        <v>33</v>
      </c>
      <c r="G88" t="s">
        <v>33</v>
      </c>
      <c r="H88">
        <v>0</v>
      </c>
      <c r="I88">
        <v>0</v>
      </c>
      <c r="J88">
        <v>0</v>
      </c>
      <c r="K88">
        <v>6</v>
      </c>
      <c r="L88" s="1">
        <v>3</v>
      </c>
      <c r="O88" t="e">
        <f>L88/N88</f>
        <v>#DIV/0!</v>
      </c>
    </row>
    <row r="89" spans="1:15" x14ac:dyDescent="0.45">
      <c r="A89">
        <v>7208</v>
      </c>
      <c r="B89" t="s">
        <v>447</v>
      </c>
      <c r="C89" t="s">
        <v>15</v>
      </c>
      <c r="D89" t="s">
        <v>80</v>
      </c>
      <c r="E89">
        <v>20</v>
      </c>
      <c r="F89" t="s">
        <v>33</v>
      </c>
      <c r="G89" t="s">
        <v>41</v>
      </c>
      <c r="H89">
        <v>3</v>
      </c>
      <c r="I89">
        <v>6</v>
      </c>
      <c r="J89">
        <v>5.83</v>
      </c>
      <c r="K89">
        <v>6</v>
      </c>
      <c r="L89" s="1">
        <v>4</v>
      </c>
      <c r="O89" t="e">
        <f>L89/N89</f>
        <v>#DIV/0!</v>
      </c>
    </row>
    <row r="90" spans="1:15" x14ac:dyDescent="0.45">
      <c r="A90">
        <v>7203</v>
      </c>
      <c r="B90" t="s">
        <v>389</v>
      </c>
      <c r="C90" t="s">
        <v>15</v>
      </c>
      <c r="D90" t="s">
        <v>45</v>
      </c>
      <c r="E90">
        <v>24</v>
      </c>
      <c r="F90" t="s">
        <v>33</v>
      </c>
      <c r="G90" t="s">
        <v>41</v>
      </c>
      <c r="H90">
        <v>2</v>
      </c>
      <c r="I90">
        <v>6.25</v>
      </c>
      <c r="J90">
        <v>6.25</v>
      </c>
      <c r="K90">
        <v>7</v>
      </c>
      <c r="L90" s="1">
        <v>5</v>
      </c>
      <c r="O90" t="e">
        <f>L90/N90</f>
        <v>#DIV/0!</v>
      </c>
    </row>
    <row r="91" spans="1:15" x14ac:dyDescent="0.45">
      <c r="A91">
        <v>7202</v>
      </c>
      <c r="B91" t="s">
        <v>570</v>
      </c>
      <c r="C91" t="s">
        <v>15</v>
      </c>
      <c r="D91" t="s">
        <v>223</v>
      </c>
      <c r="E91">
        <v>24</v>
      </c>
      <c r="F91" t="s">
        <v>37</v>
      </c>
      <c r="G91" t="s">
        <v>141</v>
      </c>
      <c r="H91">
        <v>1</v>
      </c>
      <c r="I91">
        <v>6</v>
      </c>
      <c r="J91">
        <v>6</v>
      </c>
      <c r="K91">
        <v>4</v>
      </c>
      <c r="L91" s="1">
        <v>1</v>
      </c>
      <c r="O91" t="e">
        <f>L91/N91</f>
        <v>#DIV/0!</v>
      </c>
    </row>
    <row r="92" spans="1:15" x14ac:dyDescent="0.45">
      <c r="A92">
        <v>7183</v>
      </c>
      <c r="B92" t="s">
        <v>593</v>
      </c>
      <c r="C92" t="s">
        <v>15</v>
      </c>
      <c r="D92" t="s">
        <v>121</v>
      </c>
      <c r="E92">
        <v>26</v>
      </c>
      <c r="F92" t="s">
        <v>33</v>
      </c>
      <c r="G92" t="s">
        <v>63</v>
      </c>
      <c r="H92">
        <v>2</v>
      </c>
      <c r="I92">
        <v>5.5</v>
      </c>
      <c r="J92">
        <v>5.5</v>
      </c>
      <c r="K92">
        <v>3</v>
      </c>
      <c r="L92" s="1">
        <v>3</v>
      </c>
      <c r="O92" t="e">
        <f>L92/N92</f>
        <v>#DIV/0!</v>
      </c>
    </row>
    <row r="93" spans="1:15" x14ac:dyDescent="0.45">
      <c r="A93">
        <v>7182</v>
      </c>
      <c r="B93" t="s">
        <v>603</v>
      </c>
      <c r="C93" t="s">
        <v>15</v>
      </c>
      <c r="D93" t="s">
        <v>276</v>
      </c>
      <c r="E93">
        <v>27</v>
      </c>
      <c r="F93" t="s">
        <v>37</v>
      </c>
      <c r="G93" t="s">
        <v>255</v>
      </c>
      <c r="H93">
        <v>2</v>
      </c>
      <c r="I93">
        <v>5.5</v>
      </c>
      <c r="J93">
        <v>5.5</v>
      </c>
      <c r="K93">
        <v>3</v>
      </c>
      <c r="L93" s="1">
        <v>1</v>
      </c>
      <c r="O93" t="e">
        <f>L93/N93</f>
        <v>#DIV/0!</v>
      </c>
    </row>
    <row r="94" spans="1:15" x14ac:dyDescent="0.45">
      <c r="A94">
        <v>7165</v>
      </c>
      <c r="B94" t="s">
        <v>666</v>
      </c>
      <c r="C94" t="s">
        <v>15</v>
      </c>
      <c r="D94" t="s">
        <v>242</v>
      </c>
      <c r="E94">
        <v>20</v>
      </c>
      <c r="F94" t="s">
        <v>33</v>
      </c>
      <c r="G94" t="s">
        <v>41</v>
      </c>
      <c r="H94">
        <v>0</v>
      </c>
      <c r="I94">
        <v>0</v>
      </c>
      <c r="J94">
        <v>0</v>
      </c>
      <c r="K94">
        <v>1</v>
      </c>
      <c r="L94" s="1">
        <v>1</v>
      </c>
      <c r="O94" t="e">
        <f>L94/N94</f>
        <v>#DIV/0!</v>
      </c>
    </row>
    <row r="95" spans="1:15" x14ac:dyDescent="0.45">
      <c r="A95">
        <v>7164</v>
      </c>
      <c r="B95" t="s">
        <v>680</v>
      </c>
      <c r="C95" t="s">
        <v>118</v>
      </c>
      <c r="D95" t="s">
        <v>276</v>
      </c>
      <c r="E95">
        <v>21</v>
      </c>
      <c r="F95" t="s">
        <v>37</v>
      </c>
      <c r="G95" t="s">
        <v>178</v>
      </c>
      <c r="H95">
        <v>0</v>
      </c>
      <c r="I95">
        <v>0</v>
      </c>
      <c r="J95">
        <v>0</v>
      </c>
      <c r="K95">
        <v>1</v>
      </c>
      <c r="L95" s="1">
        <v>1</v>
      </c>
      <c r="O95" t="e">
        <f>L95/N95</f>
        <v>#DIV/0!</v>
      </c>
    </row>
    <row r="96" spans="1:15" x14ac:dyDescent="0.45">
      <c r="A96">
        <v>7162</v>
      </c>
      <c r="B96" t="s">
        <v>619</v>
      </c>
      <c r="C96" t="s">
        <v>15</v>
      </c>
      <c r="D96" t="s">
        <v>26</v>
      </c>
      <c r="E96">
        <v>23</v>
      </c>
      <c r="F96" t="s">
        <v>17</v>
      </c>
      <c r="G96" t="s">
        <v>17</v>
      </c>
      <c r="H96">
        <v>0</v>
      </c>
      <c r="I96">
        <v>0</v>
      </c>
      <c r="J96">
        <v>0</v>
      </c>
      <c r="K96">
        <v>2</v>
      </c>
      <c r="L96" s="1">
        <v>3</v>
      </c>
      <c r="O96" t="e">
        <f>L96/N96</f>
        <v>#DIV/0!</v>
      </c>
    </row>
    <row r="97" spans="1:15" x14ac:dyDescent="0.45">
      <c r="A97">
        <v>7161</v>
      </c>
      <c r="B97" t="s">
        <v>620</v>
      </c>
      <c r="C97" t="s">
        <v>15</v>
      </c>
      <c r="D97" t="s">
        <v>80</v>
      </c>
      <c r="E97">
        <v>29</v>
      </c>
      <c r="F97" t="s">
        <v>17</v>
      </c>
      <c r="G97" t="s">
        <v>18</v>
      </c>
      <c r="H97">
        <v>2</v>
      </c>
      <c r="I97">
        <v>5.25</v>
      </c>
      <c r="J97">
        <v>5</v>
      </c>
      <c r="K97">
        <v>2</v>
      </c>
      <c r="L97" s="1">
        <v>1</v>
      </c>
      <c r="O97" t="e">
        <f>L97/N97</f>
        <v>#DIV/0!</v>
      </c>
    </row>
    <row r="98" spans="1:15" x14ac:dyDescent="0.45">
      <c r="A98">
        <v>7158</v>
      </c>
      <c r="B98" t="s">
        <v>655</v>
      </c>
      <c r="C98" t="s">
        <v>118</v>
      </c>
      <c r="D98" t="s">
        <v>85</v>
      </c>
      <c r="E98">
        <v>25</v>
      </c>
      <c r="F98" t="s">
        <v>17</v>
      </c>
      <c r="G98" t="s">
        <v>18</v>
      </c>
      <c r="H98">
        <v>0</v>
      </c>
      <c r="I98">
        <v>0</v>
      </c>
      <c r="J98">
        <v>0</v>
      </c>
      <c r="K98">
        <v>1</v>
      </c>
      <c r="L98" s="1">
        <v>1</v>
      </c>
      <c r="O98" t="e">
        <f>L98/N98</f>
        <v>#DIV/0!</v>
      </c>
    </row>
    <row r="99" spans="1:15" x14ac:dyDescent="0.45">
      <c r="A99">
        <v>7157</v>
      </c>
      <c r="B99" t="s">
        <v>667</v>
      </c>
      <c r="C99" t="s">
        <v>118</v>
      </c>
      <c r="D99" t="s">
        <v>85</v>
      </c>
      <c r="E99">
        <v>25</v>
      </c>
      <c r="F99" t="s">
        <v>33</v>
      </c>
      <c r="G99" t="s">
        <v>41</v>
      </c>
      <c r="H99">
        <v>0</v>
      </c>
      <c r="I99">
        <v>0</v>
      </c>
      <c r="J99">
        <v>0</v>
      </c>
      <c r="K99">
        <v>1</v>
      </c>
      <c r="L99" s="1">
        <v>1</v>
      </c>
      <c r="O99" t="e">
        <f>L99/N99</f>
        <v>#DIV/0!</v>
      </c>
    </row>
    <row r="100" spans="1:15" x14ac:dyDescent="0.45">
      <c r="A100">
        <v>7156</v>
      </c>
      <c r="B100" t="s">
        <v>681</v>
      </c>
      <c r="C100" t="s">
        <v>15</v>
      </c>
      <c r="D100" t="s">
        <v>85</v>
      </c>
      <c r="E100">
        <v>23</v>
      </c>
      <c r="F100" t="s">
        <v>37</v>
      </c>
      <c r="G100" t="s">
        <v>255</v>
      </c>
      <c r="H100">
        <v>0</v>
      </c>
      <c r="I100">
        <v>0</v>
      </c>
      <c r="J100">
        <v>0</v>
      </c>
      <c r="K100">
        <v>1</v>
      </c>
      <c r="L100" s="1">
        <v>1</v>
      </c>
      <c r="O100" t="e">
        <f>L100/N100</f>
        <v>#DIV/0!</v>
      </c>
    </row>
    <row r="101" spans="1:15" x14ac:dyDescent="0.45">
      <c r="A101">
        <v>7154</v>
      </c>
      <c r="B101" t="s">
        <v>571</v>
      </c>
      <c r="C101" t="s">
        <v>15</v>
      </c>
      <c r="D101" t="s">
        <v>85</v>
      </c>
      <c r="E101">
        <v>26</v>
      </c>
      <c r="F101" t="s">
        <v>37</v>
      </c>
      <c r="G101" t="s">
        <v>141</v>
      </c>
      <c r="H101">
        <v>1</v>
      </c>
      <c r="I101">
        <v>7</v>
      </c>
      <c r="J101">
        <v>10</v>
      </c>
      <c r="K101">
        <v>4</v>
      </c>
      <c r="L101" s="1">
        <v>3</v>
      </c>
      <c r="O101" t="e">
        <f>L101/N101</f>
        <v>#DIV/0!</v>
      </c>
    </row>
    <row r="102" spans="1:15" x14ac:dyDescent="0.45">
      <c r="A102">
        <v>7146</v>
      </c>
      <c r="B102" t="s">
        <v>391</v>
      </c>
      <c r="C102" t="s">
        <v>15</v>
      </c>
      <c r="D102" t="s">
        <v>211</v>
      </c>
      <c r="E102">
        <v>28</v>
      </c>
      <c r="F102" t="s">
        <v>33</v>
      </c>
      <c r="G102" t="s">
        <v>392</v>
      </c>
      <c r="H102">
        <v>0</v>
      </c>
      <c r="I102">
        <v>0</v>
      </c>
      <c r="J102">
        <v>0</v>
      </c>
      <c r="K102">
        <v>7</v>
      </c>
      <c r="L102" s="1">
        <v>5</v>
      </c>
      <c r="O102" t="e">
        <f>L102/N102</f>
        <v>#DIV/0!</v>
      </c>
    </row>
    <row r="103" spans="1:15" x14ac:dyDescent="0.45">
      <c r="A103">
        <v>7138</v>
      </c>
      <c r="B103" t="s">
        <v>504</v>
      </c>
      <c r="C103" t="s">
        <v>15</v>
      </c>
      <c r="D103" t="s">
        <v>223</v>
      </c>
      <c r="E103">
        <v>22</v>
      </c>
      <c r="F103" t="s">
        <v>33</v>
      </c>
      <c r="G103" t="s">
        <v>41</v>
      </c>
      <c r="H103">
        <v>3</v>
      </c>
      <c r="I103">
        <v>5.83</v>
      </c>
      <c r="J103">
        <v>5.83</v>
      </c>
      <c r="K103">
        <v>5</v>
      </c>
      <c r="L103" s="1">
        <v>3</v>
      </c>
      <c r="O103" t="e">
        <f>L103/N103</f>
        <v>#DIV/0!</v>
      </c>
    </row>
    <row r="104" spans="1:15" x14ac:dyDescent="0.45">
      <c r="A104">
        <v>7128</v>
      </c>
      <c r="B104" t="s">
        <v>587</v>
      </c>
      <c r="C104" t="s">
        <v>118</v>
      </c>
      <c r="D104" t="s">
        <v>32</v>
      </c>
      <c r="E104">
        <v>26</v>
      </c>
      <c r="F104" t="s">
        <v>17</v>
      </c>
      <c r="G104" t="s">
        <v>63</v>
      </c>
      <c r="H104">
        <v>0</v>
      </c>
      <c r="I104">
        <v>0</v>
      </c>
      <c r="J104">
        <v>0</v>
      </c>
      <c r="K104">
        <v>3</v>
      </c>
      <c r="L104" s="1">
        <v>3</v>
      </c>
      <c r="O104" t="e">
        <f>L104/N104</f>
        <v>#DIV/0!</v>
      </c>
    </row>
    <row r="105" spans="1:15" x14ac:dyDescent="0.45">
      <c r="A105">
        <v>7125</v>
      </c>
      <c r="B105" t="s">
        <v>639</v>
      </c>
      <c r="C105" t="s">
        <v>15</v>
      </c>
      <c r="D105" t="s">
        <v>242</v>
      </c>
      <c r="E105">
        <v>21</v>
      </c>
      <c r="F105" t="s">
        <v>37</v>
      </c>
      <c r="G105" t="s">
        <v>255</v>
      </c>
      <c r="H105">
        <v>0</v>
      </c>
      <c r="I105">
        <v>0</v>
      </c>
      <c r="J105">
        <v>0</v>
      </c>
      <c r="K105">
        <v>2</v>
      </c>
      <c r="L105" s="1">
        <v>2</v>
      </c>
      <c r="O105" t="e">
        <f>L105/N105</f>
        <v>#DIV/0!</v>
      </c>
    </row>
    <row r="106" spans="1:15" x14ac:dyDescent="0.45">
      <c r="A106">
        <v>7092</v>
      </c>
      <c r="B106" t="s">
        <v>594</v>
      </c>
      <c r="C106" t="s">
        <v>15</v>
      </c>
      <c r="D106" t="s">
        <v>80</v>
      </c>
      <c r="E106">
        <v>20</v>
      </c>
      <c r="F106" t="s">
        <v>33</v>
      </c>
      <c r="G106" t="s">
        <v>171</v>
      </c>
      <c r="H106">
        <v>0</v>
      </c>
      <c r="I106">
        <v>0</v>
      </c>
      <c r="J106">
        <v>0</v>
      </c>
      <c r="K106">
        <v>3</v>
      </c>
      <c r="L106" s="1">
        <v>2</v>
      </c>
      <c r="O106" t="e">
        <f>L106/N106</f>
        <v>#DIV/0!</v>
      </c>
    </row>
    <row r="107" spans="1:15" x14ac:dyDescent="0.45">
      <c r="A107">
        <v>7068</v>
      </c>
      <c r="B107" t="s">
        <v>517</v>
      </c>
      <c r="C107" t="s">
        <v>15</v>
      </c>
      <c r="D107" t="s">
        <v>62</v>
      </c>
      <c r="E107">
        <v>23</v>
      </c>
      <c r="F107" t="s">
        <v>37</v>
      </c>
      <c r="G107" t="s">
        <v>141</v>
      </c>
      <c r="H107">
        <v>0</v>
      </c>
      <c r="I107">
        <v>0</v>
      </c>
      <c r="J107">
        <v>0</v>
      </c>
      <c r="K107">
        <v>5</v>
      </c>
      <c r="L107" s="1">
        <v>4</v>
      </c>
      <c r="O107" t="e">
        <f>L107/N107</f>
        <v>#DIV/0!</v>
      </c>
    </row>
    <row r="108" spans="1:15" x14ac:dyDescent="0.45">
      <c r="A108">
        <v>7048</v>
      </c>
      <c r="B108" t="s">
        <v>705</v>
      </c>
      <c r="C108" t="s">
        <v>15</v>
      </c>
      <c r="D108" t="s">
        <v>16</v>
      </c>
      <c r="E108">
        <v>19</v>
      </c>
      <c r="F108" t="s">
        <v>108</v>
      </c>
      <c r="G108" t="s">
        <v>109</v>
      </c>
      <c r="H108">
        <v>0</v>
      </c>
      <c r="I108">
        <v>0</v>
      </c>
      <c r="J108">
        <v>0</v>
      </c>
      <c r="K108">
        <v>1</v>
      </c>
      <c r="L108" s="1">
        <v>1</v>
      </c>
      <c r="O108" t="e">
        <f>L108/N108</f>
        <v>#DIV/0!</v>
      </c>
    </row>
    <row r="109" spans="1:15" x14ac:dyDescent="0.45">
      <c r="A109">
        <v>7036</v>
      </c>
      <c r="B109" t="s">
        <v>393</v>
      </c>
      <c r="C109" t="s">
        <v>15</v>
      </c>
      <c r="D109" t="s">
        <v>85</v>
      </c>
      <c r="E109">
        <v>19</v>
      </c>
      <c r="F109" t="s">
        <v>33</v>
      </c>
      <c r="G109" t="s">
        <v>49</v>
      </c>
      <c r="H109">
        <v>2</v>
      </c>
      <c r="I109">
        <v>6</v>
      </c>
      <c r="J109">
        <v>6</v>
      </c>
      <c r="K109">
        <v>7</v>
      </c>
      <c r="L109" s="1">
        <v>6</v>
      </c>
      <c r="O109" t="e">
        <f>L109/N109</f>
        <v>#DIV/0!</v>
      </c>
    </row>
    <row r="110" spans="1:15" x14ac:dyDescent="0.45">
      <c r="A110">
        <v>7027</v>
      </c>
      <c r="B110" t="s">
        <v>656</v>
      </c>
      <c r="C110" t="s">
        <v>118</v>
      </c>
      <c r="D110" t="s">
        <v>32</v>
      </c>
      <c r="E110">
        <v>24</v>
      </c>
      <c r="F110" t="s">
        <v>17</v>
      </c>
      <c r="G110" t="s">
        <v>18</v>
      </c>
      <c r="H110">
        <v>0</v>
      </c>
      <c r="I110">
        <v>0</v>
      </c>
      <c r="J110">
        <v>0</v>
      </c>
      <c r="K110">
        <v>1</v>
      </c>
      <c r="L110" s="1">
        <v>1</v>
      </c>
      <c r="O110" t="e">
        <f>L110/N110</f>
        <v>#DIV/0!</v>
      </c>
    </row>
    <row r="111" spans="1:15" x14ac:dyDescent="0.45">
      <c r="A111">
        <v>7014</v>
      </c>
      <c r="B111" t="s">
        <v>518</v>
      </c>
      <c r="C111" t="s">
        <v>15</v>
      </c>
      <c r="D111" t="s">
        <v>32</v>
      </c>
      <c r="E111">
        <v>26</v>
      </c>
      <c r="F111" t="s">
        <v>37</v>
      </c>
      <c r="G111" t="s">
        <v>208</v>
      </c>
      <c r="H111">
        <v>1</v>
      </c>
      <c r="I111">
        <v>5.5</v>
      </c>
      <c r="J111">
        <v>5.5</v>
      </c>
      <c r="K111">
        <v>5</v>
      </c>
      <c r="L111" s="1">
        <v>4</v>
      </c>
      <c r="O111" t="e">
        <f>L111/N111</f>
        <v>#DIV/0!</v>
      </c>
    </row>
    <row r="112" spans="1:15" x14ac:dyDescent="0.45">
      <c r="A112">
        <v>7008</v>
      </c>
      <c r="B112" t="s">
        <v>497</v>
      </c>
      <c r="C112" t="s">
        <v>118</v>
      </c>
      <c r="D112" t="s">
        <v>45</v>
      </c>
      <c r="E112">
        <v>25</v>
      </c>
      <c r="F112" t="s">
        <v>17</v>
      </c>
      <c r="G112" t="s">
        <v>18</v>
      </c>
      <c r="H112">
        <v>0</v>
      </c>
      <c r="I112">
        <v>0</v>
      </c>
      <c r="J112">
        <v>0</v>
      </c>
      <c r="K112">
        <v>5</v>
      </c>
      <c r="L112" s="1">
        <v>6</v>
      </c>
      <c r="O112" t="e">
        <f>L112/N112</f>
        <v>#DIV/0!</v>
      </c>
    </row>
    <row r="113" spans="1:15" x14ac:dyDescent="0.45">
      <c r="A113">
        <v>6994</v>
      </c>
      <c r="B113" t="s">
        <v>356</v>
      </c>
      <c r="C113" t="s">
        <v>15</v>
      </c>
      <c r="D113" t="s">
        <v>221</v>
      </c>
      <c r="E113">
        <v>29</v>
      </c>
      <c r="F113" t="s">
        <v>33</v>
      </c>
      <c r="G113" t="s">
        <v>49</v>
      </c>
      <c r="H113">
        <v>4</v>
      </c>
      <c r="I113">
        <v>5.88</v>
      </c>
      <c r="J113">
        <v>5.75</v>
      </c>
      <c r="K113">
        <v>8</v>
      </c>
      <c r="L113" s="1">
        <v>5</v>
      </c>
      <c r="O113" t="e">
        <f>L113/N113</f>
        <v>#DIV/0!</v>
      </c>
    </row>
    <row r="114" spans="1:15" x14ac:dyDescent="0.45">
      <c r="A114">
        <v>6990</v>
      </c>
      <c r="B114" t="s">
        <v>471</v>
      </c>
      <c r="C114" t="s">
        <v>15</v>
      </c>
      <c r="D114" t="s">
        <v>276</v>
      </c>
      <c r="E114">
        <v>24</v>
      </c>
      <c r="F114" t="s">
        <v>37</v>
      </c>
      <c r="G114" t="s">
        <v>208</v>
      </c>
      <c r="H114">
        <v>3</v>
      </c>
      <c r="I114">
        <v>5.67</v>
      </c>
      <c r="J114">
        <v>5.83</v>
      </c>
      <c r="K114">
        <v>6</v>
      </c>
      <c r="L114" s="1">
        <v>5</v>
      </c>
      <c r="O114" t="e">
        <f>L114/N114</f>
        <v>#DIV/0!</v>
      </c>
    </row>
    <row r="115" spans="1:15" x14ac:dyDescent="0.45">
      <c r="A115">
        <v>6986</v>
      </c>
      <c r="B115" t="s">
        <v>415</v>
      </c>
      <c r="C115" t="s">
        <v>15</v>
      </c>
      <c r="D115" t="s">
        <v>16</v>
      </c>
      <c r="E115">
        <v>23</v>
      </c>
      <c r="F115" t="s">
        <v>37</v>
      </c>
      <c r="G115" t="s">
        <v>297</v>
      </c>
      <c r="H115">
        <v>0</v>
      </c>
      <c r="I115">
        <v>0</v>
      </c>
      <c r="J115">
        <v>0</v>
      </c>
      <c r="K115">
        <v>7</v>
      </c>
      <c r="L115" s="1">
        <v>4</v>
      </c>
      <c r="O115" t="e">
        <f>L115/N115</f>
        <v>#DIV/0!</v>
      </c>
    </row>
    <row r="116" spans="1:15" x14ac:dyDescent="0.45">
      <c r="A116">
        <v>6985</v>
      </c>
      <c r="B116" t="s">
        <v>572</v>
      </c>
      <c r="C116" t="s">
        <v>15</v>
      </c>
      <c r="D116" t="s">
        <v>85</v>
      </c>
      <c r="E116">
        <v>28</v>
      </c>
      <c r="F116" t="s">
        <v>37</v>
      </c>
      <c r="G116" t="s">
        <v>248</v>
      </c>
      <c r="H116">
        <v>0</v>
      </c>
      <c r="I116">
        <v>0</v>
      </c>
      <c r="J116">
        <v>0</v>
      </c>
      <c r="K116">
        <v>4</v>
      </c>
      <c r="L116" s="1">
        <v>2</v>
      </c>
      <c r="O116" t="e">
        <f>L116/N116</f>
        <v>#DIV/0!</v>
      </c>
    </row>
    <row r="117" spans="1:15" x14ac:dyDescent="0.45">
      <c r="A117">
        <v>6984</v>
      </c>
      <c r="B117" t="s">
        <v>339</v>
      </c>
      <c r="C117" t="s">
        <v>118</v>
      </c>
      <c r="D117" t="s">
        <v>223</v>
      </c>
      <c r="E117">
        <v>24</v>
      </c>
      <c r="F117" t="s">
        <v>33</v>
      </c>
      <c r="G117" t="s">
        <v>63</v>
      </c>
      <c r="H117">
        <v>0</v>
      </c>
      <c r="I117">
        <v>0</v>
      </c>
      <c r="J117">
        <v>0</v>
      </c>
      <c r="K117">
        <v>9</v>
      </c>
      <c r="L117" s="1">
        <v>5</v>
      </c>
      <c r="O117" t="e">
        <f>L117/N117</f>
        <v>#DIV/0!</v>
      </c>
    </row>
    <row r="118" spans="1:15" x14ac:dyDescent="0.45">
      <c r="A118">
        <v>6981</v>
      </c>
      <c r="B118" t="s">
        <v>621</v>
      </c>
      <c r="C118" t="s">
        <v>118</v>
      </c>
      <c r="D118" t="s">
        <v>16</v>
      </c>
      <c r="E118">
        <v>19</v>
      </c>
      <c r="F118" t="s">
        <v>17</v>
      </c>
      <c r="G118" t="s">
        <v>18</v>
      </c>
      <c r="H118">
        <v>0</v>
      </c>
      <c r="I118">
        <v>0</v>
      </c>
      <c r="J118">
        <v>0</v>
      </c>
      <c r="K118">
        <v>2</v>
      </c>
      <c r="L118" s="1">
        <v>1</v>
      </c>
      <c r="O118" t="e">
        <f>L118/N118</f>
        <v>#DIV/0!</v>
      </c>
    </row>
    <row r="119" spans="1:15" x14ac:dyDescent="0.45">
      <c r="A119">
        <v>6980</v>
      </c>
      <c r="B119" t="s">
        <v>626</v>
      </c>
      <c r="C119" t="s">
        <v>15</v>
      </c>
      <c r="D119" t="s">
        <v>151</v>
      </c>
      <c r="E119">
        <v>20</v>
      </c>
      <c r="F119" t="s">
        <v>33</v>
      </c>
      <c r="G119" t="s">
        <v>202</v>
      </c>
      <c r="H119">
        <v>0</v>
      </c>
      <c r="I119">
        <v>0</v>
      </c>
      <c r="J119">
        <v>0</v>
      </c>
      <c r="K119">
        <v>2</v>
      </c>
      <c r="L119" s="1">
        <v>1</v>
      </c>
      <c r="O119" t="e">
        <f>L119/N119</f>
        <v>#DIV/0!</v>
      </c>
    </row>
    <row r="120" spans="1:15" x14ac:dyDescent="0.45">
      <c r="A120">
        <v>6977</v>
      </c>
      <c r="B120" t="s">
        <v>604</v>
      </c>
      <c r="C120" t="s">
        <v>15</v>
      </c>
      <c r="D120" t="s">
        <v>151</v>
      </c>
      <c r="E120">
        <v>22</v>
      </c>
      <c r="F120" t="s">
        <v>37</v>
      </c>
      <c r="G120" t="s">
        <v>141</v>
      </c>
      <c r="H120">
        <v>1</v>
      </c>
      <c r="I120">
        <v>4.5</v>
      </c>
      <c r="J120">
        <v>4.5</v>
      </c>
      <c r="K120">
        <v>3</v>
      </c>
      <c r="L120" s="1">
        <v>2</v>
      </c>
      <c r="O120" t="e">
        <f>L120/N120</f>
        <v>#DIV/0!</v>
      </c>
    </row>
    <row r="121" spans="1:15" x14ac:dyDescent="0.45">
      <c r="A121">
        <v>6917</v>
      </c>
      <c r="B121" t="s">
        <v>551</v>
      </c>
      <c r="C121" t="s">
        <v>15</v>
      </c>
      <c r="D121" t="s">
        <v>148</v>
      </c>
      <c r="E121">
        <v>25</v>
      </c>
      <c r="F121" t="s">
        <v>33</v>
      </c>
      <c r="G121" t="s">
        <v>41</v>
      </c>
      <c r="H121">
        <v>3</v>
      </c>
      <c r="I121">
        <v>6.33</v>
      </c>
      <c r="J121">
        <v>6.67</v>
      </c>
      <c r="K121">
        <v>4</v>
      </c>
      <c r="L121" s="1">
        <v>5</v>
      </c>
      <c r="O121" t="e">
        <f>L121/N121</f>
        <v>#DIV/0!</v>
      </c>
    </row>
    <row r="122" spans="1:15" x14ac:dyDescent="0.45">
      <c r="A122">
        <v>6916</v>
      </c>
      <c r="B122" t="s">
        <v>416</v>
      </c>
      <c r="C122" t="s">
        <v>118</v>
      </c>
      <c r="D122" t="s">
        <v>93</v>
      </c>
      <c r="E122">
        <v>18</v>
      </c>
      <c r="F122" t="s">
        <v>37</v>
      </c>
      <c r="G122" t="s">
        <v>325</v>
      </c>
      <c r="H122">
        <v>0</v>
      </c>
      <c r="I122">
        <v>0</v>
      </c>
      <c r="J122">
        <v>0</v>
      </c>
      <c r="K122">
        <v>7</v>
      </c>
      <c r="L122" s="1">
        <v>6</v>
      </c>
      <c r="O122" t="e">
        <f>L122/N122</f>
        <v>#DIV/0!</v>
      </c>
    </row>
    <row r="123" spans="1:15" x14ac:dyDescent="0.45">
      <c r="A123">
        <v>6903</v>
      </c>
      <c r="B123" t="s">
        <v>595</v>
      </c>
      <c r="C123" t="s">
        <v>15</v>
      </c>
      <c r="D123" t="s">
        <v>148</v>
      </c>
      <c r="E123">
        <v>22</v>
      </c>
      <c r="F123" t="s">
        <v>33</v>
      </c>
      <c r="G123" t="s">
        <v>49</v>
      </c>
      <c r="H123">
        <v>1</v>
      </c>
      <c r="I123">
        <v>6</v>
      </c>
      <c r="J123">
        <v>6</v>
      </c>
      <c r="K123">
        <v>3</v>
      </c>
      <c r="L123" s="1">
        <v>2</v>
      </c>
      <c r="O123" t="e">
        <f>L123/N123</f>
        <v>#DIV/0!</v>
      </c>
    </row>
    <row r="124" spans="1:15" x14ac:dyDescent="0.45">
      <c r="A124">
        <v>6896</v>
      </c>
      <c r="B124" t="s">
        <v>473</v>
      </c>
      <c r="C124" t="s">
        <v>15</v>
      </c>
      <c r="D124" t="s">
        <v>85</v>
      </c>
      <c r="E124">
        <v>24</v>
      </c>
      <c r="F124" t="s">
        <v>37</v>
      </c>
      <c r="G124" t="s">
        <v>208</v>
      </c>
      <c r="H124">
        <v>0</v>
      </c>
      <c r="I124">
        <v>0</v>
      </c>
      <c r="J124">
        <v>0</v>
      </c>
      <c r="K124">
        <v>6</v>
      </c>
      <c r="L124" s="1">
        <v>1</v>
      </c>
      <c r="O124" t="e">
        <f>L124/N124</f>
        <v>#DIV/0!</v>
      </c>
    </row>
    <row r="125" spans="1:15" x14ac:dyDescent="0.45">
      <c r="A125">
        <v>6895</v>
      </c>
      <c r="B125" t="s">
        <v>448</v>
      </c>
      <c r="C125" t="s">
        <v>15</v>
      </c>
      <c r="D125" t="s">
        <v>85</v>
      </c>
      <c r="E125">
        <v>23</v>
      </c>
      <c r="F125" t="s">
        <v>33</v>
      </c>
      <c r="G125" t="s">
        <v>63</v>
      </c>
      <c r="H125">
        <v>2</v>
      </c>
      <c r="I125">
        <v>5.75</v>
      </c>
      <c r="J125">
        <v>5.75</v>
      </c>
      <c r="K125">
        <v>6</v>
      </c>
      <c r="L125" s="1">
        <v>3</v>
      </c>
      <c r="O125" t="e">
        <f>L125/N125</f>
        <v>#DIV/0!</v>
      </c>
    </row>
    <row r="126" spans="1:15" x14ac:dyDescent="0.45">
      <c r="A126">
        <v>6892</v>
      </c>
      <c r="B126" t="s">
        <v>519</v>
      </c>
      <c r="C126" t="s">
        <v>15</v>
      </c>
      <c r="D126" t="s">
        <v>221</v>
      </c>
      <c r="E126">
        <v>24</v>
      </c>
      <c r="F126" t="s">
        <v>37</v>
      </c>
      <c r="G126" t="s">
        <v>141</v>
      </c>
      <c r="H126">
        <v>4</v>
      </c>
      <c r="I126">
        <v>5.25</v>
      </c>
      <c r="J126">
        <v>5</v>
      </c>
      <c r="K126">
        <v>5</v>
      </c>
      <c r="L126" s="1">
        <v>3</v>
      </c>
      <c r="O126" t="e">
        <f>L126/N126</f>
        <v>#DIV/0!</v>
      </c>
    </row>
    <row r="127" spans="1:15" x14ac:dyDescent="0.45">
      <c r="A127">
        <v>6890</v>
      </c>
      <c r="B127" t="s">
        <v>605</v>
      </c>
      <c r="C127" t="s">
        <v>15</v>
      </c>
      <c r="D127" t="s">
        <v>221</v>
      </c>
      <c r="E127">
        <v>23</v>
      </c>
      <c r="F127" t="s">
        <v>37</v>
      </c>
      <c r="G127" t="s">
        <v>141</v>
      </c>
      <c r="H127">
        <v>2</v>
      </c>
      <c r="I127">
        <v>5.25</v>
      </c>
      <c r="J127">
        <v>5</v>
      </c>
      <c r="K127">
        <v>3</v>
      </c>
      <c r="L127" s="1">
        <v>4</v>
      </c>
      <c r="O127" t="e">
        <f>L127/N127</f>
        <v>#DIV/0!</v>
      </c>
    </row>
    <row r="128" spans="1:15" x14ac:dyDescent="0.45">
      <c r="A128">
        <v>6889</v>
      </c>
      <c r="B128" t="s">
        <v>627</v>
      </c>
      <c r="C128" t="s">
        <v>118</v>
      </c>
      <c r="D128" t="s">
        <v>121</v>
      </c>
      <c r="E128">
        <v>25</v>
      </c>
      <c r="F128" t="s">
        <v>33</v>
      </c>
      <c r="G128" t="s">
        <v>49</v>
      </c>
      <c r="H128">
        <v>0</v>
      </c>
      <c r="I128">
        <v>0</v>
      </c>
      <c r="J128">
        <v>0</v>
      </c>
      <c r="K128">
        <v>2</v>
      </c>
      <c r="L128" s="1">
        <v>1</v>
      </c>
      <c r="O128" t="e">
        <f>L128/N128</f>
        <v>#DIV/0!</v>
      </c>
    </row>
    <row r="129" spans="1:15" x14ac:dyDescent="0.45">
      <c r="A129">
        <v>6883</v>
      </c>
      <c r="B129" t="s">
        <v>640</v>
      </c>
      <c r="C129" t="s">
        <v>15</v>
      </c>
      <c r="D129" t="s">
        <v>276</v>
      </c>
      <c r="E129">
        <v>26</v>
      </c>
      <c r="F129" t="s">
        <v>37</v>
      </c>
      <c r="G129" t="s">
        <v>141</v>
      </c>
      <c r="H129">
        <v>0</v>
      </c>
      <c r="I129">
        <v>0</v>
      </c>
      <c r="J129">
        <v>0</v>
      </c>
      <c r="K129">
        <v>2</v>
      </c>
      <c r="L129" s="1">
        <v>1</v>
      </c>
      <c r="O129" t="e">
        <f>L129/N129</f>
        <v>#DIV/0!</v>
      </c>
    </row>
    <row r="130" spans="1:15" x14ac:dyDescent="0.45">
      <c r="A130">
        <v>6826</v>
      </c>
      <c r="B130" t="s">
        <v>682</v>
      </c>
      <c r="C130" t="s">
        <v>15</v>
      </c>
      <c r="D130" t="s">
        <v>276</v>
      </c>
      <c r="E130">
        <v>22</v>
      </c>
      <c r="F130" t="s">
        <v>37</v>
      </c>
      <c r="G130" t="s">
        <v>208</v>
      </c>
      <c r="H130">
        <v>0</v>
      </c>
      <c r="I130">
        <v>0</v>
      </c>
      <c r="J130">
        <v>0</v>
      </c>
      <c r="K130">
        <v>1</v>
      </c>
      <c r="L130" s="1">
        <v>1</v>
      </c>
      <c r="O130" t="e">
        <f>L130/N130</f>
        <v>#DIV/0!</v>
      </c>
    </row>
    <row r="131" spans="1:15" x14ac:dyDescent="0.45">
      <c r="A131">
        <v>6822</v>
      </c>
      <c r="B131" t="s">
        <v>545</v>
      </c>
      <c r="C131" t="s">
        <v>15</v>
      </c>
      <c r="D131" t="s">
        <v>66</v>
      </c>
      <c r="E131">
        <v>20</v>
      </c>
      <c r="F131" t="s">
        <v>17</v>
      </c>
      <c r="G131" t="s">
        <v>17</v>
      </c>
      <c r="H131">
        <v>0</v>
      </c>
      <c r="I131">
        <v>0</v>
      </c>
      <c r="J131">
        <v>0</v>
      </c>
      <c r="K131">
        <v>4</v>
      </c>
      <c r="L131" s="1">
        <v>2</v>
      </c>
      <c r="O131" t="e">
        <f>L131/N131</f>
        <v>#DIV/0!</v>
      </c>
    </row>
    <row r="132" spans="1:15" x14ac:dyDescent="0.45">
      <c r="A132">
        <v>6815</v>
      </c>
      <c r="B132" t="s">
        <v>449</v>
      </c>
      <c r="C132" t="s">
        <v>15</v>
      </c>
      <c r="D132" t="s">
        <v>242</v>
      </c>
      <c r="E132">
        <v>25</v>
      </c>
      <c r="F132" t="s">
        <v>33</v>
      </c>
      <c r="G132" t="s">
        <v>202</v>
      </c>
      <c r="H132">
        <v>2</v>
      </c>
      <c r="I132">
        <v>6</v>
      </c>
      <c r="J132">
        <v>6</v>
      </c>
      <c r="K132">
        <v>6</v>
      </c>
      <c r="L132" s="1">
        <v>3</v>
      </c>
      <c r="O132" t="e">
        <f>L132/N132</f>
        <v>#DIV/0!</v>
      </c>
    </row>
    <row r="133" spans="1:15" x14ac:dyDescent="0.45">
      <c r="A133">
        <v>6814</v>
      </c>
      <c r="B133" t="s">
        <v>375</v>
      </c>
      <c r="C133" t="s">
        <v>118</v>
      </c>
      <c r="D133" t="s">
        <v>151</v>
      </c>
      <c r="E133">
        <v>22</v>
      </c>
      <c r="F133" t="s">
        <v>37</v>
      </c>
      <c r="G133" t="s">
        <v>208</v>
      </c>
      <c r="H133">
        <v>2</v>
      </c>
      <c r="I133">
        <v>5.75</v>
      </c>
      <c r="J133">
        <v>5.75</v>
      </c>
      <c r="K133">
        <v>8</v>
      </c>
      <c r="L133" s="1">
        <v>8</v>
      </c>
      <c r="O133" t="e">
        <f>L133/N133</f>
        <v>#DIV/0!</v>
      </c>
    </row>
    <row r="134" spans="1:15" x14ac:dyDescent="0.45">
      <c r="A134">
        <v>6813</v>
      </c>
      <c r="B134" t="s">
        <v>706</v>
      </c>
      <c r="C134" t="s">
        <v>15</v>
      </c>
      <c r="D134" t="s">
        <v>45</v>
      </c>
      <c r="E134">
        <v>21</v>
      </c>
      <c r="F134" t="s">
        <v>108</v>
      </c>
      <c r="G134" t="s">
        <v>109</v>
      </c>
      <c r="H134">
        <v>0</v>
      </c>
      <c r="I134">
        <v>0</v>
      </c>
      <c r="J134">
        <v>0</v>
      </c>
      <c r="K134">
        <v>1</v>
      </c>
      <c r="L134" s="1">
        <v>1</v>
      </c>
      <c r="O134" t="e">
        <f>L134/N134</f>
        <v>#DIV/0!</v>
      </c>
    </row>
    <row r="135" spans="1:15" x14ac:dyDescent="0.45">
      <c r="A135">
        <v>6809</v>
      </c>
      <c r="B135" t="s">
        <v>641</v>
      </c>
      <c r="C135" t="s">
        <v>15</v>
      </c>
      <c r="D135" t="s">
        <v>26</v>
      </c>
      <c r="E135">
        <v>22</v>
      </c>
      <c r="F135" t="s">
        <v>37</v>
      </c>
      <c r="G135" t="s">
        <v>141</v>
      </c>
      <c r="H135">
        <v>0</v>
      </c>
      <c r="I135">
        <v>0</v>
      </c>
      <c r="J135">
        <v>0</v>
      </c>
      <c r="K135">
        <v>2</v>
      </c>
      <c r="L135" s="1">
        <v>1</v>
      </c>
      <c r="O135" t="e">
        <f>L135/N135</f>
        <v>#DIV/0!</v>
      </c>
    </row>
    <row r="136" spans="1:15" x14ac:dyDescent="0.45">
      <c r="A136">
        <v>6717</v>
      </c>
      <c r="B136" t="s">
        <v>307</v>
      </c>
      <c r="C136" t="s">
        <v>15</v>
      </c>
      <c r="D136" t="s">
        <v>85</v>
      </c>
      <c r="E136">
        <v>24</v>
      </c>
      <c r="F136" t="s">
        <v>33</v>
      </c>
      <c r="G136" t="s">
        <v>33</v>
      </c>
      <c r="H136">
        <v>0</v>
      </c>
      <c r="I136">
        <v>0</v>
      </c>
      <c r="J136">
        <v>0</v>
      </c>
      <c r="K136">
        <v>10</v>
      </c>
      <c r="L136" s="1">
        <v>8</v>
      </c>
      <c r="O136" t="e">
        <f>L136/N136</f>
        <v>#DIV/0!</v>
      </c>
    </row>
    <row r="137" spans="1:15" x14ac:dyDescent="0.45">
      <c r="A137">
        <v>6682</v>
      </c>
      <c r="B137" t="s">
        <v>707</v>
      </c>
      <c r="C137" t="s">
        <v>118</v>
      </c>
      <c r="D137" t="s">
        <v>211</v>
      </c>
      <c r="E137">
        <v>25</v>
      </c>
      <c r="F137" t="s">
        <v>108</v>
      </c>
      <c r="G137" t="s">
        <v>109</v>
      </c>
      <c r="H137">
        <v>1</v>
      </c>
      <c r="I137">
        <v>5</v>
      </c>
      <c r="J137">
        <v>1</v>
      </c>
      <c r="K137">
        <v>1</v>
      </c>
      <c r="L137" s="1">
        <v>1</v>
      </c>
      <c r="O137" t="e">
        <f>L137/N137</f>
        <v>#DIV/0!</v>
      </c>
    </row>
    <row r="138" spans="1:15" x14ac:dyDescent="0.45">
      <c r="A138">
        <v>6681</v>
      </c>
      <c r="B138" t="s">
        <v>642</v>
      </c>
      <c r="C138" t="s">
        <v>15</v>
      </c>
      <c r="D138" t="s">
        <v>221</v>
      </c>
      <c r="E138">
        <v>22</v>
      </c>
      <c r="F138" t="s">
        <v>37</v>
      </c>
      <c r="G138" t="s">
        <v>208</v>
      </c>
      <c r="H138">
        <v>2</v>
      </c>
      <c r="I138">
        <v>6</v>
      </c>
      <c r="J138">
        <v>7.5</v>
      </c>
      <c r="K138">
        <v>2</v>
      </c>
      <c r="L138" s="1">
        <v>4</v>
      </c>
      <c r="O138" t="e">
        <f>L138/N138</f>
        <v>#DIV/0!</v>
      </c>
    </row>
    <row r="139" spans="1:15" x14ac:dyDescent="0.45">
      <c r="A139">
        <v>6678</v>
      </c>
      <c r="B139" t="s">
        <v>340</v>
      </c>
      <c r="C139" t="s">
        <v>15</v>
      </c>
      <c r="D139" t="s">
        <v>32</v>
      </c>
      <c r="E139">
        <v>19</v>
      </c>
      <c r="F139" t="s">
        <v>33</v>
      </c>
      <c r="G139" t="s">
        <v>59</v>
      </c>
      <c r="H139">
        <v>1</v>
      </c>
      <c r="I139">
        <v>6</v>
      </c>
      <c r="J139">
        <v>6</v>
      </c>
      <c r="K139">
        <v>9</v>
      </c>
      <c r="L139" s="1">
        <v>6</v>
      </c>
      <c r="O139" t="e">
        <f>L139/N139</f>
        <v>#DIV/0!</v>
      </c>
    </row>
    <row r="140" spans="1:15" x14ac:dyDescent="0.45">
      <c r="A140">
        <v>6673</v>
      </c>
      <c r="B140" t="s">
        <v>573</v>
      </c>
      <c r="C140" t="s">
        <v>15</v>
      </c>
      <c r="D140" t="s">
        <v>221</v>
      </c>
      <c r="E140">
        <v>28</v>
      </c>
      <c r="F140" t="s">
        <v>37</v>
      </c>
      <c r="G140" t="s">
        <v>248</v>
      </c>
      <c r="H140">
        <v>0</v>
      </c>
      <c r="I140">
        <v>0</v>
      </c>
      <c r="J140">
        <v>0</v>
      </c>
      <c r="K140">
        <v>4</v>
      </c>
      <c r="L140" s="1">
        <v>2</v>
      </c>
      <c r="O140" t="e">
        <f>L140/N140</f>
        <v>#DIV/0!</v>
      </c>
    </row>
    <row r="141" spans="1:15" x14ac:dyDescent="0.45">
      <c r="A141">
        <v>6671</v>
      </c>
      <c r="B141" t="s">
        <v>708</v>
      </c>
      <c r="C141" t="s">
        <v>15</v>
      </c>
      <c r="D141" t="s">
        <v>221</v>
      </c>
      <c r="E141">
        <v>34</v>
      </c>
      <c r="F141" t="s">
        <v>108</v>
      </c>
      <c r="G141" t="s">
        <v>109</v>
      </c>
      <c r="H141">
        <v>0</v>
      </c>
      <c r="I141">
        <v>0</v>
      </c>
      <c r="J141">
        <v>0</v>
      </c>
      <c r="K141">
        <v>1</v>
      </c>
      <c r="L141" s="1">
        <v>1</v>
      </c>
      <c r="O141" t="e">
        <f>L141/N141</f>
        <v>#DIV/0!</v>
      </c>
    </row>
    <row r="142" spans="1:15" x14ac:dyDescent="0.45">
      <c r="A142">
        <v>6663</v>
      </c>
      <c r="B142" t="s">
        <v>349</v>
      </c>
      <c r="C142" t="s">
        <v>118</v>
      </c>
      <c r="D142" t="s">
        <v>223</v>
      </c>
      <c r="E142">
        <v>23</v>
      </c>
      <c r="F142" t="s">
        <v>37</v>
      </c>
      <c r="G142" t="s">
        <v>141</v>
      </c>
      <c r="H142">
        <v>0</v>
      </c>
      <c r="I142">
        <v>0</v>
      </c>
      <c r="J142">
        <v>0</v>
      </c>
      <c r="K142">
        <v>9</v>
      </c>
      <c r="L142" s="1">
        <v>6</v>
      </c>
      <c r="O142" t="e">
        <f>L142/N142</f>
        <v>#DIV/0!</v>
      </c>
    </row>
    <row r="143" spans="1:15" x14ac:dyDescent="0.45">
      <c r="A143">
        <v>6659</v>
      </c>
      <c r="B143" t="s">
        <v>476</v>
      </c>
      <c r="C143" t="s">
        <v>15</v>
      </c>
      <c r="D143" t="s">
        <v>211</v>
      </c>
      <c r="E143">
        <v>23</v>
      </c>
      <c r="F143" t="s">
        <v>37</v>
      </c>
      <c r="G143" t="s">
        <v>141</v>
      </c>
      <c r="H143">
        <v>3</v>
      </c>
      <c r="I143">
        <v>5.67</v>
      </c>
      <c r="J143">
        <v>5.33</v>
      </c>
      <c r="K143">
        <v>6</v>
      </c>
      <c r="L143" s="1">
        <v>4</v>
      </c>
      <c r="O143" t="e">
        <f>L143/N143</f>
        <v>#DIV/0!</v>
      </c>
    </row>
    <row r="144" spans="1:15" x14ac:dyDescent="0.45">
      <c r="A144">
        <v>6650</v>
      </c>
      <c r="B144" t="s">
        <v>709</v>
      </c>
      <c r="C144" t="s">
        <v>15</v>
      </c>
      <c r="D144" t="s">
        <v>242</v>
      </c>
      <c r="E144">
        <v>29</v>
      </c>
      <c r="F144" t="s">
        <v>108</v>
      </c>
      <c r="G144" t="s">
        <v>109</v>
      </c>
      <c r="H144">
        <v>0</v>
      </c>
      <c r="I144">
        <v>0</v>
      </c>
      <c r="J144">
        <v>0</v>
      </c>
      <c r="K144">
        <v>1</v>
      </c>
      <c r="L144" s="1">
        <v>1</v>
      </c>
      <c r="O144" t="e">
        <f>L144/N144</f>
        <v>#DIV/0!</v>
      </c>
    </row>
    <row r="145" spans="1:15" x14ac:dyDescent="0.45">
      <c r="A145">
        <v>6643</v>
      </c>
      <c r="B145" t="s">
        <v>498</v>
      </c>
      <c r="C145" t="s">
        <v>118</v>
      </c>
      <c r="D145" t="s">
        <v>62</v>
      </c>
      <c r="E145">
        <v>26</v>
      </c>
      <c r="F145" t="s">
        <v>17</v>
      </c>
      <c r="G145" t="s">
        <v>18</v>
      </c>
      <c r="H145">
        <v>0</v>
      </c>
      <c r="I145">
        <v>0</v>
      </c>
      <c r="J145">
        <v>0</v>
      </c>
      <c r="K145">
        <v>5</v>
      </c>
      <c r="L145" s="1">
        <v>8</v>
      </c>
      <c r="O145" t="e">
        <f>L145/N145</f>
        <v>#DIV/0!</v>
      </c>
    </row>
    <row r="146" spans="1:15" x14ac:dyDescent="0.45">
      <c r="A146">
        <v>6641</v>
      </c>
      <c r="B146" t="s">
        <v>334</v>
      </c>
      <c r="C146" t="s">
        <v>118</v>
      </c>
      <c r="D146" t="s">
        <v>223</v>
      </c>
      <c r="E146">
        <v>24</v>
      </c>
      <c r="F146" t="s">
        <v>108</v>
      </c>
      <c r="G146" t="s">
        <v>109</v>
      </c>
      <c r="H146">
        <v>0</v>
      </c>
      <c r="I146">
        <v>0</v>
      </c>
      <c r="J146">
        <v>0</v>
      </c>
      <c r="K146">
        <v>10</v>
      </c>
      <c r="L146" s="1">
        <v>7</v>
      </c>
      <c r="O146" t="e">
        <f>L146/N146</f>
        <v>#DIV/0!</v>
      </c>
    </row>
    <row r="147" spans="1:15" x14ac:dyDescent="0.45">
      <c r="A147">
        <v>6640</v>
      </c>
      <c r="B147" t="s">
        <v>552</v>
      </c>
      <c r="C147" t="s">
        <v>15</v>
      </c>
      <c r="D147" t="s">
        <v>242</v>
      </c>
      <c r="E147">
        <v>25</v>
      </c>
      <c r="F147" t="s">
        <v>33</v>
      </c>
      <c r="G147" t="s">
        <v>202</v>
      </c>
      <c r="H147">
        <v>1</v>
      </c>
      <c r="I147">
        <v>6</v>
      </c>
      <c r="J147">
        <v>6</v>
      </c>
      <c r="K147">
        <v>4</v>
      </c>
      <c r="L147" s="1">
        <v>5</v>
      </c>
      <c r="O147" t="e">
        <f>L147/N147</f>
        <v>#DIV/0!</v>
      </c>
    </row>
    <row r="148" spans="1:15" x14ac:dyDescent="0.45">
      <c r="A148">
        <v>6638</v>
      </c>
      <c r="B148" t="s">
        <v>574</v>
      </c>
      <c r="C148" t="s">
        <v>15</v>
      </c>
      <c r="D148" t="s">
        <v>26</v>
      </c>
      <c r="E148">
        <v>24</v>
      </c>
      <c r="F148" t="s">
        <v>37</v>
      </c>
      <c r="G148" t="s">
        <v>141</v>
      </c>
      <c r="H148">
        <v>3</v>
      </c>
      <c r="I148">
        <v>5.33</v>
      </c>
      <c r="J148">
        <v>5.17</v>
      </c>
      <c r="K148">
        <v>4</v>
      </c>
      <c r="L148" s="1">
        <v>2</v>
      </c>
      <c r="O148" t="e">
        <f>L148/N148</f>
        <v>#DIV/0!</v>
      </c>
    </row>
    <row r="149" spans="1:15" x14ac:dyDescent="0.45">
      <c r="A149">
        <v>6632</v>
      </c>
      <c r="B149" t="s">
        <v>477</v>
      </c>
      <c r="C149" t="s">
        <v>15</v>
      </c>
      <c r="D149" t="s">
        <v>276</v>
      </c>
      <c r="E149">
        <v>29</v>
      </c>
      <c r="F149" t="s">
        <v>37</v>
      </c>
      <c r="G149" t="s">
        <v>141</v>
      </c>
      <c r="H149">
        <v>3</v>
      </c>
      <c r="I149">
        <v>5.33</v>
      </c>
      <c r="J149">
        <v>5</v>
      </c>
      <c r="K149">
        <v>6</v>
      </c>
      <c r="L149" s="1">
        <v>5</v>
      </c>
      <c r="O149" t="e">
        <f>L149/N149</f>
        <v>#DIV/0!</v>
      </c>
    </row>
    <row r="150" spans="1:15" x14ac:dyDescent="0.45">
      <c r="A150">
        <v>6631</v>
      </c>
      <c r="B150" t="s">
        <v>520</v>
      </c>
      <c r="C150" t="s">
        <v>15</v>
      </c>
      <c r="D150" t="s">
        <v>16</v>
      </c>
      <c r="E150">
        <v>23</v>
      </c>
      <c r="F150" t="s">
        <v>37</v>
      </c>
      <c r="G150" t="s">
        <v>141</v>
      </c>
      <c r="H150">
        <v>2</v>
      </c>
      <c r="I150">
        <v>6.5</v>
      </c>
      <c r="J150">
        <v>6.5</v>
      </c>
      <c r="K150">
        <v>5</v>
      </c>
      <c r="L150" s="1">
        <v>5</v>
      </c>
      <c r="O150" t="e">
        <f>L150/N150</f>
        <v>#DIV/0!</v>
      </c>
    </row>
    <row r="151" spans="1:15" x14ac:dyDescent="0.45">
      <c r="A151">
        <v>6629</v>
      </c>
      <c r="B151" t="s">
        <v>395</v>
      </c>
      <c r="C151" t="s">
        <v>15</v>
      </c>
      <c r="D151" t="s">
        <v>77</v>
      </c>
      <c r="E151">
        <v>25</v>
      </c>
      <c r="F151" t="s">
        <v>33</v>
      </c>
      <c r="G151" t="s">
        <v>49</v>
      </c>
      <c r="H151">
        <v>1</v>
      </c>
      <c r="I151">
        <v>5.5</v>
      </c>
      <c r="J151">
        <v>5.5</v>
      </c>
      <c r="K151">
        <v>7</v>
      </c>
      <c r="L151" s="1">
        <v>4</v>
      </c>
      <c r="O151" t="e">
        <f>L151/N151</f>
        <v>#DIV/0!</v>
      </c>
    </row>
    <row r="152" spans="1:15" x14ac:dyDescent="0.45">
      <c r="A152">
        <v>6601</v>
      </c>
      <c r="B152" t="s">
        <v>575</v>
      </c>
      <c r="C152" t="s">
        <v>15</v>
      </c>
      <c r="D152" t="s">
        <v>32</v>
      </c>
      <c r="E152">
        <v>22</v>
      </c>
      <c r="F152" t="s">
        <v>37</v>
      </c>
      <c r="G152" t="s">
        <v>178</v>
      </c>
      <c r="H152">
        <v>0</v>
      </c>
      <c r="I152">
        <v>0</v>
      </c>
      <c r="J152">
        <v>0</v>
      </c>
      <c r="K152">
        <v>4</v>
      </c>
      <c r="L152" s="1">
        <v>3</v>
      </c>
      <c r="O152" t="e">
        <f>L152/N152</f>
        <v>#DIV/0!</v>
      </c>
    </row>
    <row r="153" spans="1:15" x14ac:dyDescent="0.45">
      <c r="A153">
        <v>6598</v>
      </c>
      <c r="B153" t="s">
        <v>546</v>
      </c>
      <c r="C153" t="s">
        <v>118</v>
      </c>
      <c r="D153" t="s">
        <v>242</v>
      </c>
      <c r="E153">
        <v>23</v>
      </c>
      <c r="F153" t="s">
        <v>17</v>
      </c>
      <c r="G153" t="s">
        <v>18</v>
      </c>
      <c r="H153">
        <v>0</v>
      </c>
      <c r="I153">
        <v>0</v>
      </c>
      <c r="J153">
        <v>0</v>
      </c>
      <c r="K153">
        <v>4</v>
      </c>
      <c r="L153" s="1">
        <v>6</v>
      </c>
      <c r="O153" t="e">
        <f>L153/N153</f>
        <v>#DIV/0!</v>
      </c>
    </row>
    <row r="154" spans="1:15" x14ac:dyDescent="0.45">
      <c r="A154">
        <v>6593</v>
      </c>
      <c r="B154" t="s">
        <v>450</v>
      </c>
      <c r="C154" t="s">
        <v>15</v>
      </c>
      <c r="D154" t="s">
        <v>211</v>
      </c>
      <c r="E154">
        <v>22</v>
      </c>
      <c r="F154" t="s">
        <v>33</v>
      </c>
      <c r="G154" t="s">
        <v>33</v>
      </c>
      <c r="H154">
        <v>2</v>
      </c>
      <c r="I154">
        <v>6.25</v>
      </c>
      <c r="J154">
        <v>6.75</v>
      </c>
      <c r="K154">
        <v>6</v>
      </c>
      <c r="L154" s="1">
        <v>7</v>
      </c>
      <c r="O154" t="e">
        <f>L154/N154</f>
        <v>#DIV/0!</v>
      </c>
    </row>
    <row r="155" spans="1:15" x14ac:dyDescent="0.45">
      <c r="A155">
        <v>6592</v>
      </c>
      <c r="B155" t="s">
        <v>668</v>
      </c>
      <c r="C155" t="s">
        <v>15</v>
      </c>
      <c r="D155" t="s">
        <v>211</v>
      </c>
      <c r="E155">
        <v>22</v>
      </c>
      <c r="F155" t="s">
        <v>33</v>
      </c>
      <c r="G155" t="s">
        <v>171</v>
      </c>
      <c r="H155">
        <v>2</v>
      </c>
      <c r="I155">
        <v>5.75</v>
      </c>
      <c r="J155">
        <v>5.75</v>
      </c>
      <c r="K155">
        <v>1</v>
      </c>
      <c r="L155" s="1">
        <v>2</v>
      </c>
      <c r="O155" t="e">
        <f>L155/N155</f>
        <v>#DIV/0!</v>
      </c>
    </row>
    <row r="156" spans="1:15" x14ac:dyDescent="0.45">
      <c r="A156">
        <v>6569</v>
      </c>
      <c r="B156" t="s">
        <v>710</v>
      </c>
      <c r="C156" t="s">
        <v>15</v>
      </c>
      <c r="D156" t="s">
        <v>151</v>
      </c>
      <c r="E156">
        <v>25</v>
      </c>
      <c r="F156" t="s">
        <v>108</v>
      </c>
      <c r="G156" t="s">
        <v>109</v>
      </c>
      <c r="H156">
        <v>0</v>
      </c>
      <c r="I156">
        <v>0</v>
      </c>
      <c r="J156">
        <v>0</v>
      </c>
      <c r="K156">
        <v>1</v>
      </c>
      <c r="L156" s="1">
        <v>1</v>
      </c>
      <c r="O156" t="e">
        <f>L156/N156</f>
        <v>#DIV/0!</v>
      </c>
    </row>
    <row r="157" spans="1:15" x14ac:dyDescent="0.45">
      <c r="A157">
        <v>6549</v>
      </c>
      <c r="B157" t="s">
        <v>309</v>
      </c>
      <c r="C157" t="s">
        <v>15</v>
      </c>
      <c r="D157" t="s">
        <v>276</v>
      </c>
      <c r="E157">
        <v>25</v>
      </c>
      <c r="F157" t="s">
        <v>33</v>
      </c>
      <c r="G157" t="s">
        <v>202</v>
      </c>
      <c r="H157">
        <v>3</v>
      </c>
      <c r="I157">
        <v>5.67</v>
      </c>
      <c r="J157">
        <v>5.67</v>
      </c>
      <c r="K157">
        <v>10</v>
      </c>
      <c r="L157" s="1">
        <v>6</v>
      </c>
      <c r="O157" t="e">
        <f>L157/N157</f>
        <v>#DIV/0!</v>
      </c>
    </row>
    <row r="158" spans="1:15" x14ac:dyDescent="0.45">
      <c r="A158">
        <v>6537</v>
      </c>
      <c r="B158" t="s">
        <v>606</v>
      </c>
      <c r="C158" t="s">
        <v>15</v>
      </c>
      <c r="D158" t="s">
        <v>211</v>
      </c>
      <c r="E158">
        <v>22</v>
      </c>
      <c r="F158" t="s">
        <v>37</v>
      </c>
      <c r="G158" t="s">
        <v>178</v>
      </c>
      <c r="H158">
        <v>0</v>
      </c>
      <c r="I158">
        <v>0</v>
      </c>
      <c r="J158">
        <v>0</v>
      </c>
      <c r="K158">
        <v>3</v>
      </c>
      <c r="L158" s="1">
        <v>2</v>
      </c>
      <c r="O158" t="e">
        <f>L158/N158</f>
        <v>#DIV/0!</v>
      </c>
    </row>
    <row r="159" spans="1:15" x14ac:dyDescent="0.45">
      <c r="A159">
        <v>6523</v>
      </c>
      <c r="B159" t="s">
        <v>711</v>
      </c>
      <c r="C159" t="s">
        <v>118</v>
      </c>
      <c r="D159" t="s">
        <v>276</v>
      </c>
      <c r="E159">
        <v>23</v>
      </c>
      <c r="F159" t="s">
        <v>108</v>
      </c>
      <c r="G159" t="s">
        <v>109</v>
      </c>
      <c r="H159">
        <v>0</v>
      </c>
      <c r="I159">
        <v>0</v>
      </c>
      <c r="J159">
        <v>0</v>
      </c>
      <c r="K159">
        <v>1</v>
      </c>
      <c r="L159" s="1">
        <v>1</v>
      </c>
      <c r="O159" t="e">
        <f>L159/N159</f>
        <v>#DIV/0!</v>
      </c>
    </row>
    <row r="160" spans="1:15" x14ac:dyDescent="0.45">
      <c r="A160">
        <v>6506</v>
      </c>
      <c r="B160" t="s">
        <v>396</v>
      </c>
      <c r="C160" t="s">
        <v>15</v>
      </c>
      <c r="D160" t="s">
        <v>148</v>
      </c>
      <c r="E160">
        <v>20</v>
      </c>
      <c r="F160" t="s">
        <v>33</v>
      </c>
      <c r="G160" t="s">
        <v>202</v>
      </c>
      <c r="H160">
        <v>3</v>
      </c>
      <c r="I160">
        <v>6</v>
      </c>
      <c r="J160">
        <v>6</v>
      </c>
      <c r="K160">
        <v>7</v>
      </c>
      <c r="L160" s="1">
        <v>5</v>
      </c>
      <c r="O160" t="e">
        <f>L160/N160</f>
        <v>#DIV/0!</v>
      </c>
    </row>
    <row r="161" spans="1:15" x14ac:dyDescent="0.45">
      <c r="A161">
        <v>6503</v>
      </c>
      <c r="B161" t="s">
        <v>553</v>
      </c>
      <c r="C161" t="s">
        <v>15</v>
      </c>
      <c r="D161" t="s">
        <v>22</v>
      </c>
      <c r="E161">
        <v>21</v>
      </c>
      <c r="F161" t="s">
        <v>33</v>
      </c>
      <c r="G161" t="s">
        <v>41</v>
      </c>
      <c r="H161">
        <v>0</v>
      </c>
      <c r="I161">
        <v>0</v>
      </c>
      <c r="J161">
        <v>0</v>
      </c>
      <c r="K161">
        <v>4</v>
      </c>
      <c r="L161" s="1">
        <v>2</v>
      </c>
      <c r="O161" t="e">
        <f>L161/N161</f>
        <v>#DIV/0!</v>
      </c>
    </row>
    <row r="162" spans="1:15" x14ac:dyDescent="0.45">
      <c r="A162">
        <v>6426</v>
      </c>
      <c r="B162" t="s">
        <v>478</v>
      </c>
      <c r="C162" t="s">
        <v>118</v>
      </c>
      <c r="D162" t="s">
        <v>121</v>
      </c>
      <c r="E162">
        <v>26</v>
      </c>
      <c r="F162" t="s">
        <v>37</v>
      </c>
      <c r="G162" t="s">
        <v>208</v>
      </c>
      <c r="H162">
        <v>1</v>
      </c>
      <c r="I162">
        <v>6</v>
      </c>
      <c r="J162">
        <v>6</v>
      </c>
      <c r="K162">
        <v>6</v>
      </c>
      <c r="L162" s="1">
        <v>5</v>
      </c>
      <c r="O162" t="e">
        <f>L162/N162</f>
        <v>#DIV/0!</v>
      </c>
    </row>
    <row r="163" spans="1:15" x14ac:dyDescent="0.45">
      <c r="A163">
        <v>6424</v>
      </c>
      <c r="B163" t="s">
        <v>554</v>
      </c>
      <c r="C163" t="s">
        <v>118</v>
      </c>
      <c r="D163" t="s">
        <v>242</v>
      </c>
      <c r="E163">
        <v>23</v>
      </c>
      <c r="F163" t="s">
        <v>33</v>
      </c>
      <c r="G163" t="s">
        <v>41</v>
      </c>
      <c r="H163">
        <v>0</v>
      </c>
      <c r="I163">
        <v>0</v>
      </c>
      <c r="J163">
        <v>0</v>
      </c>
      <c r="K163">
        <v>4</v>
      </c>
      <c r="L163" s="1">
        <v>4</v>
      </c>
      <c r="O163" t="e">
        <f>L163/N163</f>
        <v>#DIV/0!</v>
      </c>
    </row>
    <row r="164" spans="1:15" x14ac:dyDescent="0.45">
      <c r="A164">
        <v>6410</v>
      </c>
      <c r="B164" t="s">
        <v>669</v>
      </c>
      <c r="C164" t="s">
        <v>15</v>
      </c>
      <c r="D164" t="s">
        <v>276</v>
      </c>
      <c r="E164">
        <v>25</v>
      </c>
      <c r="F164" t="s">
        <v>33</v>
      </c>
      <c r="G164" t="s">
        <v>41</v>
      </c>
      <c r="H164">
        <v>0</v>
      </c>
      <c r="I164">
        <v>0</v>
      </c>
      <c r="J164">
        <v>0</v>
      </c>
      <c r="K164">
        <v>1</v>
      </c>
      <c r="L164" s="1">
        <v>1</v>
      </c>
      <c r="O164" t="e">
        <f>L164/N164</f>
        <v>#DIV/0!</v>
      </c>
    </row>
    <row r="165" spans="1:15" x14ac:dyDescent="0.45">
      <c r="A165">
        <v>6319</v>
      </c>
      <c r="B165" t="s">
        <v>421</v>
      </c>
      <c r="C165" t="s">
        <v>15</v>
      </c>
      <c r="D165" t="s">
        <v>77</v>
      </c>
      <c r="E165">
        <v>27</v>
      </c>
      <c r="F165" t="s">
        <v>37</v>
      </c>
      <c r="G165" t="s">
        <v>141</v>
      </c>
      <c r="H165">
        <v>0</v>
      </c>
      <c r="I165">
        <v>0</v>
      </c>
      <c r="J165">
        <v>0</v>
      </c>
      <c r="K165">
        <v>7</v>
      </c>
      <c r="L165" s="1">
        <v>6</v>
      </c>
      <c r="O165" t="e">
        <f>L165/N165</f>
        <v>#DIV/0!</v>
      </c>
    </row>
    <row r="166" spans="1:15" x14ac:dyDescent="0.45">
      <c r="A166">
        <v>6271</v>
      </c>
      <c r="B166" t="s">
        <v>397</v>
      </c>
      <c r="C166" t="s">
        <v>118</v>
      </c>
      <c r="D166" t="s">
        <v>16</v>
      </c>
      <c r="E166">
        <v>25</v>
      </c>
      <c r="F166" t="s">
        <v>33</v>
      </c>
      <c r="G166" t="s">
        <v>41</v>
      </c>
      <c r="H166">
        <v>0</v>
      </c>
      <c r="I166">
        <v>0</v>
      </c>
      <c r="J166">
        <v>0</v>
      </c>
      <c r="K166">
        <v>7</v>
      </c>
      <c r="L166" s="1">
        <v>4</v>
      </c>
      <c r="O166" t="e">
        <f>L166/N166</f>
        <v>#DIV/0!</v>
      </c>
    </row>
    <row r="167" spans="1:15" x14ac:dyDescent="0.45">
      <c r="A167">
        <v>6252</v>
      </c>
      <c r="B167" t="s">
        <v>343</v>
      </c>
      <c r="C167" t="s">
        <v>15</v>
      </c>
      <c r="D167" t="s">
        <v>211</v>
      </c>
      <c r="E167">
        <v>28</v>
      </c>
      <c r="F167" t="s">
        <v>33</v>
      </c>
      <c r="G167" t="s">
        <v>49</v>
      </c>
      <c r="H167">
        <v>2</v>
      </c>
      <c r="I167">
        <v>5.75</v>
      </c>
      <c r="J167">
        <v>5.5</v>
      </c>
      <c r="K167">
        <v>9</v>
      </c>
      <c r="L167" s="1">
        <v>4</v>
      </c>
      <c r="O167" t="e">
        <f>L167/N167</f>
        <v>#DIV/0!</v>
      </c>
    </row>
    <row r="168" spans="1:15" x14ac:dyDescent="0.45">
      <c r="A168">
        <v>6246</v>
      </c>
      <c r="B168" t="s">
        <v>596</v>
      </c>
      <c r="C168" t="s">
        <v>15</v>
      </c>
      <c r="D168" t="s">
        <v>85</v>
      </c>
      <c r="E168">
        <v>21</v>
      </c>
      <c r="F168" t="s">
        <v>33</v>
      </c>
      <c r="G168" t="s">
        <v>41</v>
      </c>
      <c r="H168">
        <v>1</v>
      </c>
      <c r="I168">
        <v>6</v>
      </c>
      <c r="J168">
        <v>6</v>
      </c>
      <c r="K168">
        <v>3</v>
      </c>
      <c r="L168" s="1">
        <v>2</v>
      </c>
      <c r="O168" t="e">
        <f>L168/N168</f>
        <v>#DIV/0!</v>
      </c>
    </row>
    <row r="169" spans="1:15" x14ac:dyDescent="0.45">
      <c r="A169">
        <v>6245</v>
      </c>
      <c r="B169" t="s">
        <v>683</v>
      </c>
      <c r="C169" t="s">
        <v>118</v>
      </c>
      <c r="D169" t="s">
        <v>151</v>
      </c>
      <c r="E169">
        <v>28</v>
      </c>
      <c r="F169" t="s">
        <v>37</v>
      </c>
      <c r="G169" t="s">
        <v>178</v>
      </c>
      <c r="H169">
        <v>0</v>
      </c>
      <c r="I169">
        <v>0</v>
      </c>
      <c r="J169">
        <v>0</v>
      </c>
      <c r="K169">
        <v>1</v>
      </c>
      <c r="L169" s="1">
        <v>1</v>
      </c>
      <c r="O169" t="e">
        <f>L169/N169</f>
        <v>#DIV/0!</v>
      </c>
    </row>
    <row r="170" spans="1:15" x14ac:dyDescent="0.45">
      <c r="A170">
        <v>6244</v>
      </c>
      <c r="B170" t="s">
        <v>684</v>
      </c>
      <c r="C170" t="s">
        <v>118</v>
      </c>
      <c r="D170" t="s">
        <v>151</v>
      </c>
      <c r="E170">
        <v>22</v>
      </c>
      <c r="F170" t="s">
        <v>37</v>
      </c>
      <c r="G170" t="s">
        <v>248</v>
      </c>
      <c r="H170">
        <v>0</v>
      </c>
      <c r="I170">
        <v>0</v>
      </c>
      <c r="J170">
        <v>0</v>
      </c>
      <c r="K170">
        <v>1</v>
      </c>
      <c r="L170" s="1">
        <v>1</v>
      </c>
      <c r="O170" t="e">
        <f>L170/N170</f>
        <v>#DIV/0!</v>
      </c>
    </row>
    <row r="171" spans="1:15" x14ac:dyDescent="0.45">
      <c r="A171">
        <v>6243</v>
      </c>
      <c r="B171" t="s">
        <v>499</v>
      </c>
      <c r="C171" t="s">
        <v>118</v>
      </c>
      <c r="D171" t="s">
        <v>242</v>
      </c>
      <c r="E171">
        <v>26</v>
      </c>
      <c r="F171" t="s">
        <v>17</v>
      </c>
      <c r="G171" t="s">
        <v>18</v>
      </c>
      <c r="H171">
        <v>1</v>
      </c>
      <c r="I171">
        <v>6</v>
      </c>
      <c r="J171">
        <v>6</v>
      </c>
      <c r="K171">
        <v>5</v>
      </c>
      <c r="L171" s="1">
        <v>4</v>
      </c>
      <c r="O171" t="e">
        <f>L171/N171</f>
        <v>#DIV/0!</v>
      </c>
    </row>
    <row r="172" spans="1:15" x14ac:dyDescent="0.45">
      <c r="A172">
        <v>6241</v>
      </c>
      <c r="B172" t="s">
        <v>597</v>
      </c>
      <c r="C172" t="s">
        <v>15</v>
      </c>
      <c r="D172" t="s">
        <v>148</v>
      </c>
      <c r="E172">
        <v>30</v>
      </c>
      <c r="F172" t="s">
        <v>33</v>
      </c>
      <c r="G172" t="s">
        <v>49</v>
      </c>
      <c r="H172">
        <v>0</v>
      </c>
      <c r="I172">
        <v>0</v>
      </c>
      <c r="J172">
        <v>0</v>
      </c>
      <c r="K172">
        <v>3</v>
      </c>
      <c r="L172" s="1">
        <v>2</v>
      </c>
      <c r="O172" t="e">
        <f>L172/N172</f>
        <v>#DIV/0!</v>
      </c>
    </row>
    <row r="173" spans="1:15" x14ac:dyDescent="0.45">
      <c r="A173">
        <v>6225</v>
      </c>
      <c r="B173" t="s">
        <v>506</v>
      </c>
      <c r="C173" t="s">
        <v>15</v>
      </c>
      <c r="D173" t="s">
        <v>62</v>
      </c>
      <c r="E173">
        <v>25</v>
      </c>
      <c r="F173" t="s">
        <v>33</v>
      </c>
      <c r="G173" t="s">
        <v>41</v>
      </c>
      <c r="H173">
        <v>1</v>
      </c>
      <c r="I173">
        <v>5</v>
      </c>
      <c r="J173">
        <v>4.5</v>
      </c>
      <c r="K173">
        <v>5</v>
      </c>
      <c r="L173" s="1">
        <v>2</v>
      </c>
      <c r="O173" t="e">
        <f>L173/N173</f>
        <v>#DIV/0!</v>
      </c>
    </row>
    <row r="174" spans="1:15" x14ac:dyDescent="0.45">
      <c r="A174">
        <v>6219</v>
      </c>
      <c r="B174" t="s">
        <v>598</v>
      </c>
      <c r="C174" t="s">
        <v>15</v>
      </c>
      <c r="D174" t="s">
        <v>85</v>
      </c>
      <c r="E174">
        <v>28</v>
      </c>
      <c r="F174" t="s">
        <v>33</v>
      </c>
      <c r="G174" t="s">
        <v>41</v>
      </c>
      <c r="H174">
        <v>0</v>
      </c>
      <c r="I174">
        <v>0</v>
      </c>
      <c r="J174">
        <v>0</v>
      </c>
      <c r="K174">
        <v>3</v>
      </c>
      <c r="L174" s="1">
        <v>1</v>
      </c>
      <c r="O174" t="e">
        <f>L174/N174</f>
        <v>#DIV/0!</v>
      </c>
    </row>
    <row r="175" spans="1:15" x14ac:dyDescent="0.45">
      <c r="A175">
        <v>6218</v>
      </c>
      <c r="B175" t="s">
        <v>451</v>
      </c>
      <c r="C175" t="s">
        <v>15</v>
      </c>
      <c r="D175" t="s">
        <v>121</v>
      </c>
      <c r="E175">
        <v>24</v>
      </c>
      <c r="F175" t="s">
        <v>33</v>
      </c>
      <c r="G175" t="s">
        <v>171</v>
      </c>
      <c r="H175">
        <v>0</v>
      </c>
      <c r="I175">
        <v>0</v>
      </c>
      <c r="J175">
        <v>0</v>
      </c>
      <c r="K175">
        <v>6</v>
      </c>
      <c r="L175" s="1">
        <v>6</v>
      </c>
      <c r="O175" t="e">
        <f>L175/N175</f>
        <v>#DIV/0!</v>
      </c>
    </row>
    <row r="176" spans="1:15" x14ac:dyDescent="0.45">
      <c r="A176">
        <v>6212</v>
      </c>
      <c r="B176" t="s">
        <v>628</v>
      </c>
      <c r="C176" t="s">
        <v>15</v>
      </c>
      <c r="D176" t="s">
        <v>80</v>
      </c>
      <c r="E176">
        <v>27</v>
      </c>
      <c r="F176" t="s">
        <v>33</v>
      </c>
      <c r="G176" t="s">
        <v>41</v>
      </c>
      <c r="H176">
        <v>2</v>
      </c>
      <c r="I176">
        <v>5.75</v>
      </c>
      <c r="J176">
        <v>5.75</v>
      </c>
      <c r="K176">
        <v>2</v>
      </c>
      <c r="L176" s="1">
        <v>2</v>
      </c>
      <c r="O176" t="e">
        <f>L176/N176</f>
        <v>#DIV/0!</v>
      </c>
    </row>
    <row r="177" spans="1:15" x14ac:dyDescent="0.45">
      <c r="A177">
        <v>6207</v>
      </c>
      <c r="B177" t="s">
        <v>452</v>
      </c>
      <c r="C177" t="s">
        <v>15</v>
      </c>
      <c r="D177" t="s">
        <v>223</v>
      </c>
      <c r="E177">
        <v>27</v>
      </c>
      <c r="F177" t="s">
        <v>33</v>
      </c>
      <c r="G177" t="s">
        <v>63</v>
      </c>
      <c r="H177">
        <v>2</v>
      </c>
      <c r="I177">
        <v>5.75</v>
      </c>
      <c r="J177">
        <v>5.5</v>
      </c>
      <c r="K177">
        <v>6</v>
      </c>
      <c r="L177" s="1">
        <v>4</v>
      </c>
      <c r="O177" t="e">
        <f>L177/N177</f>
        <v>#DIV/0!</v>
      </c>
    </row>
    <row r="178" spans="1:15" x14ac:dyDescent="0.45">
      <c r="A178">
        <v>6206</v>
      </c>
      <c r="B178" t="s">
        <v>555</v>
      </c>
      <c r="C178" t="s">
        <v>15</v>
      </c>
      <c r="D178" t="s">
        <v>223</v>
      </c>
      <c r="E178">
        <v>23</v>
      </c>
      <c r="F178" t="s">
        <v>33</v>
      </c>
      <c r="G178" t="s">
        <v>49</v>
      </c>
      <c r="H178">
        <v>1</v>
      </c>
      <c r="I178">
        <v>5.5</v>
      </c>
      <c r="J178">
        <v>5.5</v>
      </c>
      <c r="K178">
        <v>4</v>
      </c>
      <c r="L178" s="1">
        <v>4</v>
      </c>
      <c r="O178" t="e">
        <f>L178/N178</f>
        <v>#DIV/0!</v>
      </c>
    </row>
    <row r="179" spans="1:15" x14ac:dyDescent="0.45">
      <c r="A179">
        <v>6191</v>
      </c>
      <c r="B179" t="s">
        <v>629</v>
      </c>
      <c r="C179" t="s">
        <v>15</v>
      </c>
      <c r="D179" t="s">
        <v>77</v>
      </c>
      <c r="E179">
        <v>22</v>
      </c>
      <c r="F179" t="s">
        <v>33</v>
      </c>
      <c r="G179" t="s">
        <v>41</v>
      </c>
      <c r="H179">
        <v>2</v>
      </c>
      <c r="I179">
        <v>6.25</v>
      </c>
      <c r="J179">
        <v>6.25</v>
      </c>
      <c r="K179">
        <v>2</v>
      </c>
      <c r="L179" s="1">
        <v>3</v>
      </c>
      <c r="O179" t="e">
        <f>L179/N179</f>
        <v>#DIV/0!</v>
      </c>
    </row>
    <row r="180" spans="1:15" x14ac:dyDescent="0.45">
      <c r="A180">
        <v>6189</v>
      </c>
      <c r="B180" t="s">
        <v>685</v>
      </c>
      <c r="C180" t="s">
        <v>118</v>
      </c>
      <c r="D180" t="s">
        <v>85</v>
      </c>
      <c r="E180">
        <v>22</v>
      </c>
      <c r="F180" t="s">
        <v>37</v>
      </c>
      <c r="G180" t="s">
        <v>208</v>
      </c>
      <c r="H180">
        <v>0</v>
      </c>
      <c r="I180">
        <v>0</v>
      </c>
      <c r="J180">
        <v>0</v>
      </c>
      <c r="K180">
        <v>1</v>
      </c>
      <c r="L180" s="1">
        <v>1</v>
      </c>
      <c r="O180" t="e">
        <f>L180/N180</f>
        <v>#DIV/0!</v>
      </c>
    </row>
    <row r="181" spans="1:15" x14ac:dyDescent="0.45">
      <c r="A181">
        <v>6170</v>
      </c>
      <c r="B181" t="s">
        <v>453</v>
      </c>
      <c r="C181" t="s">
        <v>15</v>
      </c>
      <c r="D181" t="s">
        <v>121</v>
      </c>
      <c r="E181">
        <v>22</v>
      </c>
      <c r="F181" t="s">
        <v>33</v>
      </c>
      <c r="G181" t="s">
        <v>41</v>
      </c>
      <c r="H181">
        <v>3</v>
      </c>
      <c r="I181">
        <v>5.5</v>
      </c>
      <c r="J181">
        <v>5.67</v>
      </c>
      <c r="K181">
        <v>6</v>
      </c>
      <c r="L181" s="1">
        <v>5</v>
      </c>
      <c r="O181" t="e">
        <f>L181/N181</f>
        <v>#DIV/0!</v>
      </c>
    </row>
    <row r="182" spans="1:15" x14ac:dyDescent="0.45">
      <c r="A182">
        <v>6149</v>
      </c>
      <c r="B182" t="s">
        <v>643</v>
      </c>
      <c r="C182" t="s">
        <v>15</v>
      </c>
      <c r="D182" t="s">
        <v>223</v>
      </c>
      <c r="E182">
        <v>23</v>
      </c>
      <c r="F182" t="s">
        <v>37</v>
      </c>
      <c r="G182" t="s">
        <v>255</v>
      </c>
      <c r="H182">
        <v>0</v>
      </c>
      <c r="I182">
        <v>0</v>
      </c>
      <c r="J182">
        <v>0</v>
      </c>
      <c r="K182">
        <v>2</v>
      </c>
      <c r="L182" s="1">
        <v>1</v>
      </c>
      <c r="O182" t="e">
        <f>L182/N182</f>
        <v>#DIV/0!</v>
      </c>
    </row>
    <row r="183" spans="1:15" x14ac:dyDescent="0.45">
      <c r="A183">
        <v>6054</v>
      </c>
      <c r="B183" t="s">
        <v>398</v>
      </c>
      <c r="C183" t="s">
        <v>15</v>
      </c>
      <c r="D183" t="s">
        <v>62</v>
      </c>
      <c r="E183">
        <v>28</v>
      </c>
      <c r="F183" t="s">
        <v>33</v>
      </c>
      <c r="G183" t="s">
        <v>41</v>
      </c>
      <c r="H183">
        <v>1</v>
      </c>
      <c r="I183">
        <v>5.5</v>
      </c>
      <c r="J183">
        <v>5.5</v>
      </c>
      <c r="K183">
        <v>7</v>
      </c>
      <c r="L183" s="1">
        <v>4</v>
      </c>
      <c r="O183" t="e">
        <f>L183/N183</f>
        <v>#DIV/0!</v>
      </c>
    </row>
    <row r="184" spans="1:15" x14ac:dyDescent="0.45">
      <c r="A184">
        <v>6047</v>
      </c>
      <c r="B184" t="s">
        <v>522</v>
      </c>
      <c r="C184" t="s">
        <v>15</v>
      </c>
      <c r="D184" t="s">
        <v>151</v>
      </c>
      <c r="E184">
        <v>31</v>
      </c>
      <c r="F184" t="s">
        <v>37</v>
      </c>
      <c r="G184" t="s">
        <v>208</v>
      </c>
      <c r="H184">
        <v>1</v>
      </c>
      <c r="I184">
        <v>5.5</v>
      </c>
      <c r="J184">
        <v>5.5</v>
      </c>
      <c r="K184">
        <v>5</v>
      </c>
      <c r="L184" s="1">
        <v>4</v>
      </c>
      <c r="O184" t="e">
        <f>L184/N184</f>
        <v>#DIV/0!</v>
      </c>
    </row>
    <row r="185" spans="1:15" x14ac:dyDescent="0.45">
      <c r="A185">
        <v>6046</v>
      </c>
      <c r="B185" t="s">
        <v>480</v>
      </c>
      <c r="C185" t="s">
        <v>15</v>
      </c>
      <c r="D185" t="s">
        <v>93</v>
      </c>
      <c r="E185">
        <v>27</v>
      </c>
      <c r="F185" t="s">
        <v>37</v>
      </c>
      <c r="G185" t="s">
        <v>141</v>
      </c>
      <c r="H185">
        <v>0</v>
      </c>
      <c r="I185">
        <v>0</v>
      </c>
      <c r="J185">
        <v>0</v>
      </c>
      <c r="K185">
        <v>6</v>
      </c>
      <c r="L185" s="1">
        <v>7</v>
      </c>
      <c r="O185" t="e">
        <f>L185/N185</f>
        <v>#DIV/0!</v>
      </c>
    </row>
    <row r="186" spans="1:15" x14ac:dyDescent="0.45">
      <c r="A186">
        <v>6039</v>
      </c>
      <c r="B186" t="s">
        <v>644</v>
      </c>
      <c r="C186" t="s">
        <v>15</v>
      </c>
      <c r="D186" t="s">
        <v>66</v>
      </c>
      <c r="E186">
        <v>25</v>
      </c>
      <c r="F186" t="s">
        <v>37</v>
      </c>
      <c r="G186" t="s">
        <v>325</v>
      </c>
      <c r="H186">
        <v>0</v>
      </c>
      <c r="I186">
        <v>0</v>
      </c>
      <c r="J186">
        <v>0</v>
      </c>
      <c r="K186">
        <v>2</v>
      </c>
      <c r="L186" s="1">
        <v>1</v>
      </c>
      <c r="O186" t="e">
        <f>L186/N186</f>
        <v>#DIV/0!</v>
      </c>
    </row>
    <row r="187" spans="1:15" x14ac:dyDescent="0.45">
      <c r="A187">
        <v>6024</v>
      </c>
      <c r="B187" t="s">
        <v>556</v>
      </c>
      <c r="C187" t="s">
        <v>15</v>
      </c>
      <c r="D187" t="s">
        <v>85</v>
      </c>
      <c r="E187">
        <v>23</v>
      </c>
      <c r="F187" t="s">
        <v>33</v>
      </c>
      <c r="G187" t="s">
        <v>41</v>
      </c>
      <c r="H187">
        <v>1</v>
      </c>
      <c r="I187">
        <v>6</v>
      </c>
      <c r="J187">
        <v>6</v>
      </c>
      <c r="K187">
        <v>4</v>
      </c>
      <c r="L187" s="1">
        <v>3</v>
      </c>
      <c r="O187" t="e">
        <f>L187/N187</f>
        <v>#DIV/0!</v>
      </c>
    </row>
    <row r="188" spans="1:15" x14ac:dyDescent="0.45">
      <c r="A188">
        <v>6020</v>
      </c>
      <c r="B188" t="s">
        <v>399</v>
      </c>
      <c r="C188" t="s">
        <v>15</v>
      </c>
      <c r="D188" t="s">
        <v>151</v>
      </c>
      <c r="E188">
        <v>24</v>
      </c>
      <c r="F188" t="s">
        <v>33</v>
      </c>
      <c r="G188" t="s">
        <v>185</v>
      </c>
      <c r="H188">
        <v>3</v>
      </c>
      <c r="I188">
        <v>5.5</v>
      </c>
      <c r="J188">
        <v>5.5</v>
      </c>
      <c r="K188">
        <v>7</v>
      </c>
      <c r="L188" s="1">
        <v>6</v>
      </c>
      <c r="O188" t="e">
        <f>L188/N188</f>
        <v>#DIV/0!</v>
      </c>
    </row>
    <row r="189" spans="1:15" x14ac:dyDescent="0.45">
      <c r="A189">
        <v>6015</v>
      </c>
      <c r="B189" t="s">
        <v>454</v>
      </c>
      <c r="C189" t="s">
        <v>15</v>
      </c>
      <c r="D189" t="s">
        <v>276</v>
      </c>
      <c r="E189">
        <v>23</v>
      </c>
      <c r="F189" t="s">
        <v>33</v>
      </c>
      <c r="G189" t="s">
        <v>49</v>
      </c>
      <c r="H189">
        <v>0</v>
      </c>
      <c r="I189">
        <v>0</v>
      </c>
      <c r="J189">
        <v>0</v>
      </c>
      <c r="K189">
        <v>6</v>
      </c>
      <c r="L189" s="1">
        <v>4</v>
      </c>
      <c r="O189" t="e">
        <f>L189/N189</f>
        <v>#DIV/0!</v>
      </c>
    </row>
    <row r="190" spans="1:15" x14ac:dyDescent="0.45">
      <c r="A190">
        <v>6005</v>
      </c>
      <c r="B190" t="s">
        <v>557</v>
      </c>
      <c r="C190" t="s">
        <v>15</v>
      </c>
      <c r="D190" t="s">
        <v>121</v>
      </c>
      <c r="E190">
        <v>22</v>
      </c>
      <c r="F190" t="s">
        <v>33</v>
      </c>
      <c r="G190" t="s">
        <v>41</v>
      </c>
      <c r="H190">
        <v>1</v>
      </c>
      <c r="I190">
        <v>5.5</v>
      </c>
      <c r="J190">
        <v>5.5</v>
      </c>
      <c r="K190">
        <v>4</v>
      </c>
      <c r="L190" s="1">
        <v>4</v>
      </c>
      <c r="O190" t="e">
        <f>L190/N190</f>
        <v>#DIV/0!</v>
      </c>
    </row>
    <row r="191" spans="1:15" x14ac:dyDescent="0.45">
      <c r="A191">
        <v>5998</v>
      </c>
      <c r="B191" t="s">
        <v>455</v>
      </c>
      <c r="C191" t="s">
        <v>15</v>
      </c>
      <c r="D191" t="s">
        <v>148</v>
      </c>
      <c r="E191">
        <v>27</v>
      </c>
      <c r="F191" t="s">
        <v>33</v>
      </c>
      <c r="G191" t="s">
        <v>202</v>
      </c>
      <c r="H191">
        <v>2</v>
      </c>
      <c r="I191">
        <v>6.25</v>
      </c>
      <c r="J191">
        <v>6.25</v>
      </c>
      <c r="K191">
        <v>6</v>
      </c>
      <c r="L191" s="1">
        <v>6</v>
      </c>
      <c r="O191" t="e">
        <f>L191/N191</f>
        <v>#DIV/0!</v>
      </c>
    </row>
    <row r="192" spans="1:15" x14ac:dyDescent="0.45">
      <c r="A192">
        <v>5994</v>
      </c>
      <c r="B192" t="s">
        <v>607</v>
      </c>
      <c r="C192" t="s">
        <v>15</v>
      </c>
      <c r="D192" t="s">
        <v>80</v>
      </c>
      <c r="E192">
        <v>27</v>
      </c>
      <c r="F192" t="s">
        <v>37</v>
      </c>
      <c r="G192" t="s">
        <v>248</v>
      </c>
      <c r="H192">
        <v>3</v>
      </c>
      <c r="I192">
        <v>5.83</v>
      </c>
      <c r="J192">
        <v>5.83</v>
      </c>
      <c r="K192">
        <v>3</v>
      </c>
      <c r="L192" s="1">
        <v>3</v>
      </c>
      <c r="O192" t="e">
        <f>L192/N192</f>
        <v>#DIV/0!</v>
      </c>
    </row>
    <row r="193" spans="1:15" x14ac:dyDescent="0.45">
      <c r="A193">
        <v>5918</v>
      </c>
      <c r="B193" t="s">
        <v>588</v>
      </c>
      <c r="C193" t="s">
        <v>15</v>
      </c>
      <c r="D193" t="s">
        <v>93</v>
      </c>
      <c r="E193">
        <v>24</v>
      </c>
      <c r="F193" t="s">
        <v>17</v>
      </c>
      <c r="G193" t="s">
        <v>17</v>
      </c>
      <c r="H193">
        <v>0</v>
      </c>
      <c r="I193">
        <v>0</v>
      </c>
      <c r="J193">
        <v>0</v>
      </c>
      <c r="K193">
        <v>3</v>
      </c>
      <c r="L193" s="1">
        <v>5</v>
      </c>
      <c r="O193" t="e">
        <f>L193/N193</f>
        <v>#DIV/0!</v>
      </c>
    </row>
    <row r="194" spans="1:15" x14ac:dyDescent="0.45">
      <c r="A194">
        <v>5880</v>
      </c>
      <c r="B194" t="s">
        <v>599</v>
      </c>
      <c r="C194" t="s">
        <v>15</v>
      </c>
      <c r="D194" t="s">
        <v>211</v>
      </c>
      <c r="E194">
        <v>31</v>
      </c>
      <c r="F194" t="s">
        <v>33</v>
      </c>
      <c r="G194" t="s">
        <v>38</v>
      </c>
      <c r="H194">
        <v>0</v>
      </c>
      <c r="I194">
        <v>0</v>
      </c>
      <c r="J194">
        <v>0</v>
      </c>
      <c r="K194">
        <v>3</v>
      </c>
      <c r="L194" s="1">
        <v>1</v>
      </c>
      <c r="O194" t="e">
        <f>L194/N194</f>
        <v>#DIV/0!</v>
      </c>
    </row>
    <row r="195" spans="1:15" x14ac:dyDescent="0.45">
      <c r="A195">
        <v>5876</v>
      </c>
      <c r="B195" t="s">
        <v>540</v>
      </c>
      <c r="C195" t="s">
        <v>118</v>
      </c>
      <c r="D195" t="s">
        <v>66</v>
      </c>
      <c r="E195">
        <v>29</v>
      </c>
      <c r="F195" t="s">
        <v>108</v>
      </c>
      <c r="G195" t="s">
        <v>109</v>
      </c>
      <c r="H195">
        <v>0</v>
      </c>
      <c r="I195">
        <v>0</v>
      </c>
      <c r="J195">
        <v>0</v>
      </c>
      <c r="K195">
        <v>5</v>
      </c>
      <c r="L195" s="1">
        <v>9</v>
      </c>
      <c r="O195" t="e">
        <f>L195/N195</f>
        <v>#DIV/0!</v>
      </c>
    </row>
    <row r="196" spans="1:15" x14ac:dyDescent="0.45">
      <c r="A196">
        <v>5872</v>
      </c>
      <c r="B196" t="s">
        <v>630</v>
      </c>
      <c r="C196" t="s">
        <v>15</v>
      </c>
      <c r="D196" t="s">
        <v>221</v>
      </c>
      <c r="E196">
        <v>26</v>
      </c>
      <c r="F196" t="s">
        <v>33</v>
      </c>
      <c r="G196" t="s">
        <v>49</v>
      </c>
      <c r="H196">
        <v>1</v>
      </c>
      <c r="I196">
        <v>5.5</v>
      </c>
      <c r="J196">
        <v>5.5</v>
      </c>
      <c r="K196">
        <v>2</v>
      </c>
      <c r="L196" s="1">
        <v>2</v>
      </c>
      <c r="O196" t="e">
        <f>L196/N196</f>
        <v>#DIV/0!</v>
      </c>
    </row>
    <row r="197" spans="1:15" x14ac:dyDescent="0.45">
      <c r="A197">
        <v>5840</v>
      </c>
      <c r="B197" t="s">
        <v>422</v>
      </c>
      <c r="C197" t="s">
        <v>15</v>
      </c>
      <c r="D197" t="s">
        <v>26</v>
      </c>
      <c r="E197">
        <v>29</v>
      </c>
      <c r="F197" t="s">
        <v>37</v>
      </c>
      <c r="G197" t="s">
        <v>325</v>
      </c>
      <c r="H197">
        <v>1</v>
      </c>
      <c r="I197">
        <v>5</v>
      </c>
      <c r="J197">
        <v>5</v>
      </c>
      <c r="K197">
        <v>7</v>
      </c>
      <c r="L197" s="1">
        <v>4</v>
      </c>
      <c r="O197" t="e">
        <f>L197/N197</f>
        <v>#DIV/0!</v>
      </c>
    </row>
    <row r="198" spans="1:15" x14ac:dyDescent="0.45">
      <c r="A198">
        <v>5831</v>
      </c>
      <c r="B198" t="s">
        <v>525</v>
      </c>
      <c r="C198" t="s">
        <v>15</v>
      </c>
      <c r="D198" t="s">
        <v>66</v>
      </c>
      <c r="E198">
        <v>28</v>
      </c>
      <c r="F198" t="s">
        <v>37</v>
      </c>
      <c r="G198" t="s">
        <v>141</v>
      </c>
      <c r="H198">
        <v>1</v>
      </c>
      <c r="I198">
        <v>7</v>
      </c>
      <c r="J198">
        <v>9.5</v>
      </c>
      <c r="K198">
        <v>5</v>
      </c>
      <c r="L198" s="1">
        <v>5</v>
      </c>
      <c r="O198" t="e">
        <f>L198/N198</f>
        <v>#DIV/0!</v>
      </c>
    </row>
    <row r="199" spans="1:15" x14ac:dyDescent="0.45">
      <c r="A199">
        <v>5820</v>
      </c>
      <c r="B199" t="s">
        <v>526</v>
      </c>
      <c r="C199" t="s">
        <v>15</v>
      </c>
      <c r="D199" t="s">
        <v>80</v>
      </c>
      <c r="E199">
        <v>23</v>
      </c>
      <c r="F199" t="s">
        <v>37</v>
      </c>
      <c r="G199" t="s">
        <v>527</v>
      </c>
      <c r="H199">
        <v>1</v>
      </c>
      <c r="I199">
        <v>6</v>
      </c>
      <c r="J199">
        <v>6</v>
      </c>
      <c r="K199">
        <v>5</v>
      </c>
      <c r="L199" s="1">
        <v>4</v>
      </c>
      <c r="O199" t="e">
        <f>L199/N199</f>
        <v>#DIV/0!</v>
      </c>
    </row>
    <row r="200" spans="1:15" x14ac:dyDescent="0.45">
      <c r="A200">
        <v>5813</v>
      </c>
      <c r="B200" t="s">
        <v>558</v>
      </c>
      <c r="C200" t="s">
        <v>118</v>
      </c>
      <c r="D200" t="s">
        <v>66</v>
      </c>
      <c r="E200">
        <v>23</v>
      </c>
      <c r="F200" t="s">
        <v>33</v>
      </c>
      <c r="G200" t="s">
        <v>49</v>
      </c>
      <c r="H200">
        <v>0</v>
      </c>
      <c r="I200">
        <v>0</v>
      </c>
      <c r="J200">
        <v>0</v>
      </c>
      <c r="K200">
        <v>4</v>
      </c>
      <c r="L200" s="1">
        <v>3</v>
      </c>
      <c r="O200" t="e">
        <f>L200/N200</f>
        <v>#DIV/0!</v>
      </c>
    </row>
    <row r="201" spans="1:15" x14ac:dyDescent="0.45">
      <c r="A201">
        <v>5812</v>
      </c>
      <c r="B201" t="s">
        <v>645</v>
      </c>
      <c r="C201" t="s">
        <v>15</v>
      </c>
      <c r="D201" t="s">
        <v>45</v>
      </c>
      <c r="E201">
        <v>23</v>
      </c>
      <c r="F201" t="s">
        <v>37</v>
      </c>
      <c r="G201" t="s">
        <v>646</v>
      </c>
      <c r="H201">
        <v>0</v>
      </c>
      <c r="I201">
        <v>0</v>
      </c>
      <c r="J201">
        <v>0</v>
      </c>
      <c r="K201">
        <v>2</v>
      </c>
      <c r="L201" s="1">
        <v>1</v>
      </c>
      <c r="O201" t="e">
        <f>L201/N201</f>
        <v>#DIV/0!</v>
      </c>
    </row>
    <row r="202" spans="1:15" x14ac:dyDescent="0.45">
      <c r="A202">
        <v>5761</v>
      </c>
      <c r="B202" t="s">
        <v>401</v>
      </c>
      <c r="C202" t="s">
        <v>15</v>
      </c>
      <c r="D202" t="s">
        <v>66</v>
      </c>
      <c r="E202">
        <v>27</v>
      </c>
      <c r="F202" t="s">
        <v>33</v>
      </c>
      <c r="G202" t="s">
        <v>202</v>
      </c>
      <c r="H202">
        <v>1</v>
      </c>
      <c r="I202">
        <v>6</v>
      </c>
      <c r="J202">
        <v>6</v>
      </c>
      <c r="K202">
        <v>7</v>
      </c>
      <c r="L202" s="1">
        <v>6</v>
      </c>
      <c r="O202" t="e">
        <f>L202/N202</f>
        <v>#DIV/0!</v>
      </c>
    </row>
    <row r="203" spans="1:15" x14ac:dyDescent="0.45">
      <c r="A203">
        <v>5757</v>
      </c>
      <c r="B203" t="s">
        <v>576</v>
      </c>
      <c r="C203" t="s">
        <v>15</v>
      </c>
      <c r="D203" t="s">
        <v>148</v>
      </c>
      <c r="E203">
        <v>24</v>
      </c>
      <c r="F203" t="s">
        <v>37</v>
      </c>
      <c r="G203" t="s">
        <v>141</v>
      </c>
      <c r="H203">
        <v>3</v>
      </c>
      <c r="I203">
        <v>5.83</v>
      </c>
      <c r="J203">
        <v>5.83</v>
      </c>
      <c r="K203">
        <v>4</v>
      </c>
      <c r="L203" s="1">
        <v>4</v>
      </c>
      <c r="O203" t="e">
        <f>L203/N203</f>
        <v>#DIV/0!</v>
      </c>
    </row>
    <row r="204" spans="1:15" x14ac:dyDescent="0.45">
      <c r="A204">
        <v>5751</v>
      </c>
      <c r="B204" t="s">
        <v>482</v>
      </c>
      <c r="C204" t="s">
        <v>15</v>
      </c>
      <c r="D204" t="s">
        <v>121</v>
      </c>
      <c r="E204">
        <v>25</v>
      </c>
      <c r="F204" t="s">
        <v>37</v>
      </c>
      <c r="G204" t="s">
        <v>208</v>
      </c>
      <c r="H204">
        <v>1</v>
      </c>
      <c r="I204">
        <v>6</v>
      </c>
      <c r="J204">
        <v>6</v>
      </c>
      <c r="K204">
        <v>6</v>
      </c>
      <c r="L204" s="1">
        <v>5</v>
      </c>
      <c r="O204" t="e">
        <f>L204/N204</f>
        <v>#DIV/0!</v>
      </c>
    </row>
    <row r="205" spans="1:15" x14ac:dyDescent="0.45">
      <c r="A205">
        <v>5742</v>
      </c>
      <c r="B205" t="s">
        <v>528</v>
      </c>
      <c r="C205" t="s">
        <v>15</v>
      </c>
      <c r="D205" t="s">
        <v>151</v>
      </c>
      <c r="E205">
        <v>25</v>
      </c>
      <c r="F205" t="s">
        <v>37</v>
      </c>
      <c r="G205" t="s">
        <v>332</v>
      </c>
      <c r="H205">
        <v>0</v>
      </c>
      <c r="I205">
        <v>0</v>
      </c>
      <c r="J205">
        <v>0</v>
      </c>
      <c r="K205">
        <v>5</v>
      </c>
      <c r="L205" s="1">
        <v>3</v>
      </c>
      <c r="O205" t="e">
        <f>L205/N205</f>
        <v>#DIV/0!</v>
      </c>
    </row>
    <row r="206" spans="1:15" x14ac:dyDescent="0.45">
      <c r="A206">
        <v>5725</v>
      </c>
      <c r="B206" t="s">
        <v>631</v>
      </c>
      <c r="C206" t="s">
        <v>15</v>
      </c>
      <c r="D206" t="s">
        <v>148</v>
      </c>
      <c r="E206">
        <v>26</v>
      </c>
      <c r="F206" t="s">
        <v>33</v>
      </c>
      <c r="G206" t="s">
        <v>33</v>
      </c>
      <c r="H206">
        <v>0</v>
      </c>
      <c r="I206">
        <v>0</v>
      </c>
      <c r="J206">
        <v>0</v>
      </c>
      <c r="K206">
        <v>2</v>
      </c>
      <c r="L206" s="1">
        <v>1</v>
      </c>
      <c r="O206" t="e">
        <f>L206/N206</f>
        <v>#DIV/0!</v>
      </c>
    </row>
    <row r="207" spans="1:15" x14ac:dyDescent="0.45">
      <c r="A207">
        <v>5707</v>
      </c>
      <c r="B207" t="s">
        <v>713</v>
      </c>
      <c r="C207" t="s">
        <v>118</v>
      </c>
      <c r="D207" t="s">
        <v>80</v>
      </c>
      <c r="E207">
        <v>23</v>
      </c>
      <c r="F207" t="s">
        <v>108</v>
      </c>
      <c r="G207" t="s">
        <v>109</v>
      </c>
      <c r="H207">
        <v>0</v>
      </c>
      <c r="I207">
        <v>0</v>
      </c>
      <c r="J207">
        <v>0</v>
      </c>
      <c r="K207">
        <v>1</v>
      </c>
      <c r="L207" s="1">
        <v>1</v>
      </c>
      <c r="O207" t="e">
        <f>L207/N207</f>
        <v>#DIV/0!</v>
      </c>
    </row>
    <row r="208" spans="1:15" x14ac:dyDescent="0.45">
      <c r="A208">
        <v>5695</v>
      </c>
      <c r="B208" t="s">
        <v>529</v>
      </c>
      <c r="C208" t="s">
        <v>15</v>
      </c>
      <c r="D208" t="s">
        <v>221</v>
      </c>
      <c r="E208">
        <v>33</v>
      </c>
      <c r="F208" t="s">
        <v>37</v>
      </c>
      <c r="G208" t="s">
        <v>255</v>
      </c>
      <c r="H208">
        <v>4</v>
      </c>
      <c r="I208">
        <v>5.5</v>
      </c>
      <c r="J208">
        <v>5.62</v>
      </c>
      <c r="K208">
        <v>5</v>
      </c>
      <c r="L208" s="1">
        <v>5</v>
      </c>
      <c r="O208" t="e">
        <f>L208/N208</f>
        <v>#DIV/0!</v>
      </c>
    </row>
    <row r="209" spans="1:15" x14ac:dyDescent="0.45">
      <c r="A209">
        <v>5674</v>
      </c>
      <c r="B209" t="s">
        <v>313</v>
      </c>
      <c r="C209" t="s">
        <v>15</v>
      </c>
      <c r="D209" t="s">
        <v>221</v>
      </c>
      <c r="E209">
        <v>30</v>
      </c>
      <c r="F209" t="s">
        <v>33</v>
      </c>
      <c r="G209" t="s">
        <v>41</v>
      </c>
      <c r="H209">
        <v>2</v>
      </c>
      <c r="I209">
        <v>5.75</v>
      </c>
      <c r="J209">
        <v>5.75</v>
      </c>
      <c r="K209">
        <v>10</v>
      </c>
      <c r="L209" s="1">
        <v>6</v>
      </c>
      <c r="O209" t="e">
        <f>L209/N209</f>
        <v>#DIV/0!</v>
      </c>
    </row>
    <row r="210" spans="1:15" x14ac:dyDescent="0.45">
      <c r="A210">
        <v>5672</v>
      </c>
      <c r="B210" t="s">
        <v>302</v>
      </c>
      <c r="C210" t="s">
        <v>118</v>
      </c>
      <c r="D210" t="s">
        <v>77</v>
      </c>
      <c r="E210">
        <v>30</v>
      </c>
      <c r="F210" t="s">
        <v>17</v>
      </c>
      <c r="G210" t="s">
        <v>17</v>
      </c>
      <c r="H210">
        <v>2</v>
      </c>
      <c r="I210">
        <v>6</v>
      </c>
      <c r="J210">
        <v>6.25</v>
      </c>
      <c r="K210">
        <v>10</v>
      </c>
      <c r="L210" s="1">
        <v>10</v>
      </c>
      <c r="O210" t="e">
        <f>L210/N210</f>
        <v>#DIV/0!</v>
      </c>
    </row>
    <row r="211" spans="1:15" x14ac:dyDescent="0.45">
      <c r="A211">
        <v>5603</v>
      </c>
      <c r="B211" t="s">
        <v>577</v>
      </c>
      <c r="C211" t="s">
        <v>15</v>
      </c>
      <c r="D211" t="s">
        <v>123</v>
      </c>
      <c r="E211">
        <v>29</v>
      </c>
      <c r="F211" t="s">
        <v>37</v>
      </c>
      <c r="G211" t="s">
        <v>141</v>
      </c>
      <c r="H211">
        <v>1</v>
      </c>
      <c r="I211">
        <v>5</v>
      </c>
      <c r="J211">
        <v>5</v>
      </c>
      <c r="K211">
        <v>4</v>
      </c>
      <c r="L211" s="1">
        <v>3</v>
      </c>
      <c r="O211" t="e">
        <f>L211/N211</f>
        <v>#DIV/0!</v>
      </c>
    </row>
    <row r="212" spans="1:15" x14ac:dyDescent="0.45">
      <c r="A212">
        <v>5562</v>
      </c>
      <c r="B212" t="s">
        <v>314</v>
      </c>
      <c r="C212" t="s">
        <v>15</v>
      </c>
      <c r="D212" t="s">
        <v>66</v>
      </c>
      <c r="E212">
        <v>25</v>
      </c>
      <c r="F212" t="s">
        <v>33</v>
      </c>
      <c r="G212" t="s">
        <v>33</v>
      </c>
      <c r="H212">
        <v>0</v>
      </c>
      <c r="I212">
        <v>0</v>
      </c>
      <c r="J212">
        <v>0</v>
      </c>
      <c r="K212">
        <v>10</v>
      </c>
      <c r="L212" s="1">
        <v>9</v>
      </c>
      <c r="O212" t="e">
        <f>L212/N212</f>
        <v>#DIV/0!</v>
      </c>
    </row>
    <row r="213" spans="1:15" x14ac:dyDescent="0.45">
      <c r="A213">
        <v>5544</v>
      </c>
      <c r="B213" t="s">
        <v>258</v>
      </c>
      <c r="C213" t="s">
        <v>118</v>
      </c>
      <c r="D213" t="s">
        <v>66</v>
      </c>
      <c r="E213">
        <v>26</v>
      </c>
      <c r="F213" t="s">
        <v>17</v>
      </c>
      <c r="G213" t="s">
        <v>18</v>
      </c>
      <c r="H213">
        <v>1</v>
      </c>
      <c r="I213">
        <v>5</v>
      </c>
      <c r="J213">
        <v>5</v>
      </c>
      <c r="K213">
        <v>13</v>
      </c>
      <c r="L213" s="1">
        <v>8</v>
      </c>
      <c r="O213" t="e">
        <f>L213/N213</f>
        <v>#DIV/0!</v>
      </c>
    </row>
    <row r="214" spans="1:15" x14ac:dyDescent="0.45">
      <c r="A214">
        <v>5527</v>
      </c>
      <c r="B214" t="s">
        <v>530</v>
      </c>
      <c r="C214" t="s">
        <v>15</v>
      </c>
      <c r="D214" t="s">
        <v>80</v>
      </c>
      <c r="E214">
        <v>26</v>
      </c>
      <c r="F214" t="s">
        <v>37</v>
      </c>
      <c r="G214" t="s">
        <v>208</v>
      </c>
      <c r="H214">
        <v>0</v>
      </c>
      <c r="I214">
        <v>0</v>
      </c>
      <c r="J214">
        <v>0</v>
      </c>
      <c r="K214">
        <v>5</v>
      </c>
      <c r="L214" s="1">
        <v>3</v>
      </c>
      <c r="O214" t="e">
        <f>L214/N214</f>
        <v>#DIV/0!</v>
      </c>
    </row>
    <row r="215" spans="1:15" x14ac:dyDescent="0.45">
      <c r="A215">
        <v>5498</v>
      </c>
      <c r="B215" t="s">
        <v>608</v>
      </c>
      <c r="C215" t="s">
        <v>15</v>
      </c>
      <c r="D215" t="s">
        <v>62</v>
      </c>
      <c r="E215">
        <v>28</v>
      </c>
      <c r="F215" t="s">
        <v>37</v>
      </c>
      <c r="G215" t="s">
        <v>141</v>
      </c>
      <c r="H215">
        <v>0</v>
      </c>
      <c r="I215">
        <v>0</v>
      </c>
      <c r="J215">
        <v>0</v>
      </c>
      <c r="K215">
        <v>3</v>
      </c>
      <c r="L215" s="1">
        <v>2</v>
      </c>
      <c r="O215" t="e">
        <f>L215/N215</f>
        <v>#DIV/0!</v>
      </c>
    </row>
    <row r="216" spans="1:15" x14ac:dyDescent="0.45">
      <c r="A216">
        <v>5485</v>
      </c>
      <c r="B216" t="s">
        <v>632</v>
      </c>
      <c r="C216" t="s">
        <v>118</v>
      </c>
      <c r="D216" t="s">
        <v>221</v>
      </c>
      <c r="E216">
        <v>26</v>
      </c>
      <c r="F216" t="s">
        <v>33</v>
      </c>
      <c r="G216" t="s">
        <v>38</v>
      </c>
      <c r="H216">
        <v>0</v>
      </c>
      <c r="I216">
        <v>0</v>
      </c>
      <c r="J216">
        <v>0</v>
      </c>
      <c r="K216">
        <v>2</v>
      </c>
      <c r="L216" s="1">
        <v>1</v>
      </c>
      <c r="O216" t="e">
        <f>L216/N216</f>
        <v>#DIV/0!</v>
      </c>
    </row>
    <row r="217" spans="1:15" x14ac:dyDescent="0.45">
      <c r="A217">
        <v>5481</v>
      </c>
      <c r="B217" t="s">
        <v>531</v>
      </c>
      <c r="C217" t="s">
        <v>15</v>
      </c>
      <c r="D217" t="s">
        <v>221</v>
      </c>
      <c r="E217">
        <v>31</v>
      </c>
      <c r="F217" t="s">
        <v>37</v>
      </c>
      <c r="G217" t="s">
        <v>332</v>
      </c>
      <c r="H217">
        <v>0</v>
      </c>
      <c r="I217">
        <v>0</v>
      </c>
      <c r="J217">
        <v>0</v>
      </c>
      <c r="K217">
        <v>5</v>
      </c>
      <c r="L217" s="1">
        <v>1</v>
      </c>
      <c r="O217" t="e">
        <f>L217/N217</f>
        <v>#DIV/0!</v>
      </c>
    </row>
    <row r="218" spans="1:15" x14ac:dyDescent="0.45">
      <c r="A218">
        <v>5462</v>
      </c>
      <c r="B218" t="s">
        <v>670</v>
      </c>
      <c r="C218" t="s">
        <v>15</v>
      </c>
      <c r="D218" t="s">
        <v>242</v>
      </c>
      <c r="E218">
        <v>24</v>
      </c>
      <c r="F218" t="s">
        <v>33</v>
      </c>
      <c r="G218" t="s">
        <v>202</v>
      </c>
      <c r="H218">
        <v>0</v>
      </c>
      <c r="I218">
        <v>0</v>
      </c>
      <c r="J218">
        <v>0</v>
      </c>
      <c r="K218">
        <v>1</v>
      </c>
      <c r="L218" s="1">
        <v>1</v>
      </c>
      <c r="O218" t="e">
        <f>L218/N218</f>
        <v>#DIV/0!</v>
      </c>
    </row>
    <row r="219" spans="1:15" x14ac:dyDescent="0.45">
      <c r="A219">
        <v>5457</v>
      </c>
      <c r="B219" t="s">
        <v>559</v>
      </c>
      <c r="C219" t="s">
        <v>15</v>
      </c>
      <c r="D219" t="s">
        <v>276</v>
      </c>
      <c r="E219">
        <v>28</v>
      </c>
      <c r="F219" t="s">
        <v>33</v>
      </c>
      <c r="G219" t="s">
        <v>41</v>
      </c>
      <c r="H219">
        <v>3</v>
      </c>
      <c r="I219">
        <v>5.83</v>
      </c>
      <c r="J219">
        <v>5.83</v>
      </c>
      <c r="K219">
        <v>4</v>
      </c>
      <c r="L219" s="1">
        <v>3</v>
      </c>
      <c r="O219" t="e">
        <f>L219/N219</f>
        <v>#DIV/0!</v>
      </c>
    </row>
    <row r="220" spans="1:15" x14ac:dyDescent="0.45">
      <c r="A220">
        <v>5453</v>
      </c>
      <c r="B220" t="s">
        <v>456</v>
      </c>
      <c r="C220" t="s">
        <v>15</v>
      </c>
      <c r="D220" t="s">
        <v>32</v>
      </c>
      <c r="E220">
        <v>25</v>
      </c>
      <c r="F220" t="s">
        <v>33</v>
      </c>
      <c r="G220" t="s">
        <v>41</v>
      </c>
      <c r="H220">
        <v>0</v>
      </c>
      <c r="I220">
        <v>0</v>
      </c>
      <c r="J220">
        <v>0</v>
      </c>
      <c r="K220">
        <v>6</v>
      </c>
      <c r="L220" s="1">
        <v>3</v>
      </c>
      <c r="O220" t="e">
        <f>L220/N220</f>
        <v>#DIV/0!</v>
      </c>
    </row>
    <row r="221" spans="1:15" x14ac:dyDescent="0.45">
      <c r="A221">
        <v>5449</v>
      </c>
      <c r="B221" t="s">
        <v>532</v>
      </c>
      <c r="C221" t="s">
        <v>15</v>
      </c>
      <c r="D221" t="s">
        <v>123</v>
      </c>
      <c r="E221">
        <v>26</v>
      </c>
      <c r="F221" t="s">
        <v>37</v>
      </c>
      <c r="G221" t="s">
        <v>255</v>
      </c>
      <c r="H221">
        <v>0</v>
      </c>
      <c r="I221">
        <v>0</v>
      </c>
      <c r="J221">
        <v>0</v>
      </c>
      <c r="K221">
        <v>5</v>
      </c>
      <c r="L221" s="1">
        <v>4</v>
      </c>
      <c r="O221" t="e">
        <f>L221/N221</f>
        <v>#DIV/0!</v>
      </c>
    </row>
    <row r="222" spans="1:15" x14ac:dyDescent="0.45">
      <c r="A222">
        <v>5427</v>
      </c>
      <c r="B222" t="s">
        <v>271</v>
      </c>
      <c r="C222" t="s">
        <v>118</v>
      </c>
      <c r="D222" t="s">
        <v>26</v>
      </c>
      <c r="E222">
        <v>25</v>
      </c>
      <c r="F222" t="s">
        <v>37</v>
      </c>
      <c r="G222" t="s">
        <v>255</v>
      </c>
      <c r="H222">
        <v>0</v>
      </c>
      <c r="I222">
        <v>0</v>
      </c>
      <c r="J222">
        <v>0</v>
      </c>
      <c r="K222">
        <v>13</v>
      </c>
      <c r="L222" s="1">
        <v>8</v>
      </c>
      <c r="O222" t="e">
        <f>L222/N222</f>
        <v>#DIV/0!</v>
      </c>
    </row>
    <row r="223" spans="1:15" x14ac:dyDescent="0.45">
      <c r="A223">
        <v>5424</v>
      </c>
      <c r="B223" t="s">
        <v>686</v>
      </c>
      <c r="C223" t="s">
        <v>15</v>
      </c>
      <c r="D223" t="s">
        <v>148</v>
      </c>
      <c r="E223">
        <v>21</v>
      </c>
      <c r="F223" t="s">
        <v>37</v>
      </c>
      <c r="G223" t="s">
        <v>141</v>
      </c>
      <c r="H223">
        <v>0</v>
      </c>
      <c r="I223">
        <v>0</v>
      </c>
      <c r="J223">
        <v>0</v>
      </c>
      <c r="K223">
        <v>1</v>
      </c>
      <c r="L223" s="1">
        <v>1</v>
      </c>
      <c r="O223" t="e">
        <f>L223/N223</f>
        <v>#DIV/0!</v>
      </c>
    </row>
    <row r="224" spans="1:15" x14ac:dyDescent="0.45">
      <c r="A224">
        <v>5399</v>
      </c>
      <c r="B224" t="s">
        <v>687</v>
      </c>
      <c r="C224" t="s">
        <v>15</v>
      </c>
      <c r="D224" t="s">
        <v>211</v>
      </c>
      <c r="E224">
        <v>26</v>
      </c>
      <c r="F224" t="s">
        <v>37</v>
      </c>
      <c r="G224" t="s">
        <v>141</v>
      </c>
      <c r="H224">
        <v>0</v>
      </c>
      <c r="I224">
        <v>0</v>
      </c>
      <c r="J224">
        <v>0</v>
      </c>
      <c r="K224">
        <v>1</v>
      </c>
      <c r="L224" s="1">
        <v>1</v>
      </c>
      <c r="O224" t="e">
        <f>L224/N224</f>
        <v>#DIV/0!</v>
      </c>
    </row>
    <row r="225" spans="1:15" x14ac:dyDescent="0.45">
      <c r="A225">
        <v>5320</v>
      </c>
      <c r="B225" t="s">
        <v>714</v>
      </c>
      <c r="C225" t="s">
        <v>118</v>
      </c>
      <c r="D225" t="s">
        <v>121</v>
      </c>
      <c r="E225">
        <v>34</v>
      </c>
      <c r="F225" t="s">
        <v>108</v>
      </c>
      <c r="G225" t="s">
        <v>109</v>
      </c>
      <c r="H225">
        <v>0</v>
      </c>
      <c r="I225">
        <v>0</v>
      </c>
      <c r="J225">
        <v>0</v>
      </c>
      <c r="K225">
        <v>1</v>
      </c>
      <c r="L225" s="1">
        <v>1</v>
      </c>
      <c r="O225" t="e">
        <f>L225/N225</f>
        <v>#DIV/0!</v>
      </c>
    </row>
    <row r="226" spans="1:15" x14ac:dyDescent="0.45">
      <c r="A226">
        <v>5319</v>
      </c>
      <c r="B226" t="s">
        <v>457</v>
      </c>
      <c r="C226" t="s">
        <v>15</v>
      </c>
      <c r="D226" t="s">
        <v>221</v>
      </c>
      <c r="E226">
        <v>25</v>
      </c>
      <c r="F226" t="s">
        <v>33</v>
      </c>
      <c r="G226" t="s">
        <v>33</v>
      </c>
      <c r="H226">
        <v>3</v>
      </c>
      <c r="I226">
        <v>5.5</v>
      </c>
      <c r="J226">
        <v>5.17</v>
      </c>
      <c r="K226">
        <v>6</v>
      </c>
      <c r="L226" s="1">
        <v>5</v>
      </c>
      <c r="O226" t="e">
        <f>L226/N226</f>
        <v>#DIV/0!</v>
      </c>
    </row>
    <row r="227" spans="1:15" x14ac:dyDescent="0.45">
      <c r="A227">
        <v>5307</v>
      </c>
      <c r="B227" t="s">
        <v>533</v>
      </c>
      <c r="C227" t="s">
        <v>15</v>
      </c>
      <c r="D227" t="s">
        <v>223</v>
      </c>
      <c r="E227">
        <v>27</v>
      </c>
      <c r="F227" t="s">
        <v>37</v>
      </c>
      <c r="G227" t="s">
        <v>141</v>
      </c>
      <c r="H227">
        <v>1</v>
      </c>
      <c r="I227">
        <v>6</v>
      </c>
      <c r="J227">
        <v>6</v>
      </c>
      <c r="K227">
        <v>5</v>
      </c>
      <c r="L227" s="1">
        <v>4</v>
      </c>
      <c r="O227" t="e">
        <f>L227/N227</f>
        <v>#DIV/0!</v>
      </c>
    </row>
    <row r="228" spans="1:15" x14ac:dyDescent="0.45">
      <c r="A228">
        <v>5301</v>
      </c>
      <c r="B228" t="s">
        <v>458</v>
      </c>
      <c r="C228" t="s">
        <v>15</v>
      </c>
      <c r="D228" t="s">
        <v>22</v>
      </c>
      <c r="E228">
        <v>25</v>
      </c>
      <c r="F228" t="s">
        <v>33</v>
      </c>
      <c r="G228" t="s">
        <v>38</v>
      </c>
      <c r="H228">
        <v>2</v>
      </c>
      <c r="I228">
        <v>6</v>
      </c>
      <c r="J228">
        <v>6</v>
      </c>
      <c r="K228">
        <v>6</v>
      </c>
      <c r="L228" s="1">
        <v>5</v>
      </c>
      <c r="O228" t="e">
        <f>L228/N228</f>
        <v>#DIV/0!</v>
      </c>
    </row>
    <row r="229" spans="1:15" x14ac:dyDescent="0.45">
      <c r="A229">
        <v>5298</v>
      </c>
      <c r="B229" t="s">
        <v>459</v>
      </c>
      <c r="C229" t="s">
        <v>15</v>
      </c>
      <c r="D229" t="s">
        <v>62</v>
      </c>
      <c r="E229">
        <v>27</v>
      </c>
      <c r="F229" t="s">
        <v>33</v>
      </c>
      <c r="G229" t="s">
        <v>41</v>
      </c>
      <c r="H229">
        <v>2</v>
      </c>
      <c r="I229">
        <v>6</v>
      </c>
      <c r="J229">
        <v>6</v>
      </c>
      <c r="K229">
        <v>6</v>
      </c>
      <c r="L229" s="1">
        <v>6</v>
      </c>
      <c r="O229" t="e">
        <f>L229/N229</f>
        <v>#DIV/0!</v>
      </c>
    </row>
    <row r="230" spans="1:15" x14ac:dyDescent="0.45">
      <c r="A230">
        <v>5295</v>
      </c>
      <c r="B230" t="s">
        <v>360</v>
      </c>
      <c r="C230" t="s">
        <v>15</v>
      </c>
      <c r="D230" t="s">
        <v>45</v>
      </c>
      <c r="E230">
        <v>24</v>
      </c>
      <c r="F230" t="s">
        <v>33</v>
      </c>
      <c r="G230" t="s">
        <v>361</v>
      </c>
      <c r="H230">
        <v>3</v>
      </c>
      <c r="I230">
        <v>6.17</v>
      </c>
      <c r="J230">
        <v>6.17</v>
      </c>
      <c r="K230">
        <v>8</v>
      </c>
      <c r="L230" s="1">
        <v>4</v>
      </c>
      <c r="O230" t="e">
        <f>L230/N230</f>
        <v>#DIV/0!</v>
      </c>
    </row>
    <row r="231" spans="1:15" x14ac:dyDescent="0.45">
      <c r="A231">
        <v>5131</v>
      </c>
      <c r="B231" t="s">
        <v>507</v>
      </c>
      <c r="C231" t="s">
        <v>15</v>
      </c>
      <c r="D231" t="s">
        <v>26</v>
      </c>
      <c r="E231">
        <v>25</v>
      </c>
      <c r="F231" t="s">
        <v>33</v>
      </c>
      <c r="G231" t="s">
        <v>41</v>
      </c>
      <c r="H231">
        <v>0</v>
      </c>
      <c r="I231">
        <v>0</v>
      </c>
      <c r="J231">
        <v>0</v>
      </c>
      <c r="K231">
        <v>5</v>
      </c>
      <c r="L231" s="1">
        <v>2</v>
      </c>
      <c r="O231" t="e">
        <f>L231/N231</f>
        <v>#DIV/0!</v>
      </c>
    </row>
    <row r="232" spans="1:15" x14ac:dyDescent="0.45">
      <c r="A232">
        <v>5036</v>
      </c>
      <c r="B232" t="s">
        <v>460</v>
      </c>
      <c r="C232" t="s">
        <v>15</v>
      </c>
      <c r="D232" t="s">
        <v>32</v>
      </c>
      <c r="E232">
        <v>26</v>
      </c>
      <c r="F232" t="s">
        <v>33</v>
      </c>
      <c r="G232" t="s">
        <v>49</v>
      </c>
      <c r="H232">
        <v>2</v>
      </c>
      <c r="I232">
        <v>6.25</v>
      </c>
      <c r="J232">
        <v>6.25</v>
      </c>
      <c r="K232">
        <v>6</v>
      </c>
      <c r="L232" s="1">
        <v>7</v>
      </c>
      <c r="O232" t="e">
        <f>L232/N232</f>
        <v>#DIV/0!</v>
      </c>
    </row>
    <row r="233" spans="1:15" x14ac:dyDescent="0.45">
      <c r="A233">
        <v>5007</v>
      </c>
      <c r="B233" t="s">
        <v>508</v>
      </c>
      <c r="C233" t="s">
        <v>15</v>
      </c>
      <c r="D233" t="s">
        <v>276</v>
      </c>
      <c r="E233">
        <v>25</v>
      </c>
      <c r="F233" t="s">
        <v>33</v>
      </c>
      <c r="G233" t="s">
        <v>41</v>
      </c>
      <c r="H233">
        <v>2</v>
      </c>
      <c r="I233">
        <v>5.25</v>
      </c>
      <c r="J233">
        <v>5</v>
      </c>
      <c r="K233">
        <v>5</v>
      </c>
      <c r="L233" s="1">
        <v>1</v>
      </c>
      <c r="O233" t="e">
        <f>L233/N233</f>
        <v>#DIV/0!</v>
      </c>
    </row>
    <row r="234" spans="1:15" x14ac:dyDescent="0.45">
      <c r="A234">
        <v>4970</v>
      </c>
      <c r="B234" t="s">
        <v>560</v>
      </c>
      <c r="C234" t="s">
        <v>15</v>
      </c>
      <c r="D234" t="s">
        <v>151</v>
      </c>
      <c r="E234">
        <v>35</v>
      </c>
      <c r="F234" t="s">
        <v>33</v>
      </c>
      <c r="G234" t="s">
        <v>171</v>
      </c>
      <c r="H234">
        <v>3</v>
      </c>
      <c r="I234">
        <v>6</v>
      </c>
      <c r="J234">
        <v>6</v>
      </c>
      <c r="K234">
        <v>4</v>
      </c>
      <c r="L234" s="1">
        <v>5</v>
      </c>
      <c r="O234" t="e">
        <f>L234/N234</f>
        <v>#DIV/0!</v>
      </c>
    </row>
    <row r="235" spans="1:15" x14ac:dyDescent="0.45">
      <c r="A235">
        <v>4957</v>
      </c>
      <c r="B235" t="s">
        <v>715</v>
      </c>
      <c r="C235" t="s">
        <v>15</v>
      </c>
      <c r="D235" t="s">
        <v>221</v>
      </c>
      <c r="E235">
        <v>30</v>
      </c>
      <c r="F235" t="s">
        <v>108</v>
      </c>
      <c r="G235" t="s">
        <v>109</v>
      </c>
      <c r="H235">
        <v>0</v>
      </c>
      <c r="I235">
        <v>0</v>
      </c>
      <c r="J235">
        <v>0</v>
      </c>
      <c r="K235">
        <v>1</v>
      </c>
      <c r="L235" s="1">
        <v>1</v>
      </c>
      <c r="O235" t="e">
        <f>L235/N235</f>
        <v>#DIV/0!</v>
      </c>
    </row>
    <row r="236" spans="1:15" x14ac:dyDescent="0.45">
      <c r="A236">
        <v>4947</v>
      </c>
      <c r="B236" t="s">
        <v>461</v>
      </c>
      <c r="C236" t="s">
        <v>15</v>
      </c>
      <c r="D236" t="s">
        <v>123</v>
      </c>
      <c r="E236">
        <v>26</v>
      </c>
      <c r="F236" t="s">
        <v>33</v>
      </c>
      <c r="G236" t="s">
        <v>49</v>
      </c>
      <c r="H236">
        <v>3</v>
      </c>
      <c r="I236">
        <v>5.67</v>
      </c>
      <c r="J236">
        <v>5.67</v>
      </c>
      <c r="K236">
        <v>6</v>
      </c>
      <c r="L236" s="1">
        <v>4</v>
      </c>
      <c r="O236" t="e">
        <f>L236/N236</f>
        <v>#DIV/0!</v>
      </c>
    </row>
    <row r="237" spans="1:15" x14ac:dyDescent="0.45">
      <c r="A237">
        <v>4929</v>
      </c>
      <c r="B237" t="s">
        <v>716</v>
      </c>
      <c r="C237" t="s">
        <v>118</v>
      </c>
      <c r="D237" t="s">
        <v>242</v>
      </c>
      <c r="E237">
        <v>24</v>
      </c>
      <c r="F237" t="s">
        <v>108</v>
      </c>
      <c r="G237" t="s">
        <v>109</v>
      </c>
      <c r="H237">
        <v>0</v>
      </c>
      <c r="I237">
        <v>0</v>
      </c>
      <c r="J237">
        <v>0</v>
      </c>
      <c r="K237">
        <v>1</v>
      </c>
      <c r="L237" s="1">
        <v>1</v>
      </c>
      <c r="O237" t="e">
        <f>L237/N237</f>
        <v>#DIV/0!</v>
      </c>
    </row>
    <row r="238" spans="1:15" x14ac:dyDescent="0.45">
      <c r="A238">
        <v>4925</v>
      </c>
      <c r="B238" t="s">
        <v>534</v>
      </c>
      <c r="C238" t="s">
        <v>15</v>
      </c>
      <c r="D238" t="s">
        <v>211</v>
      </c>
      <c r="E238">
        <v>25</v>
      </c>
      <c r="F238" t="s">
        <v>37</v>
      </c>
      <c r="G238" t="s">
        <v>248</v>
      </c>
      <c r="H238">
        <v>3</v>
      </c>
      <c r="I238">
        <v>5.67</v>
      </c>
      <c r="J238">
        <v>5.67</v>
      </c>
      <c r="K238">
        <v>5</v>
      </c>
      <c r="L238" s="1">
        <v>4</v>
      </c>
      <c r="O238" t="e">
        <f>L238/N238</f>
        <v>#DIV/0!</v>
      </c>
    </row>
    <row r="239" spans="1:15" x14ac:dyDescent="0.45">
      <c r="A239">
        <v>4867</v>
      </c>
      <c r="B239" t="s">
        <v>717</v>
      </c>
      <c r="C239" t="s">
        <v>15</v>
      </c>
      <c r="D239" t="s">
        <v>85</v>
      </c>
      <c r="E239">
        <v>25</v>
      </c>
      <c r="F239" t="s">
        <v>108</v>
      </c>
      <c r="G239" t="s">
        <v>109</v>
      </c>
      <c r="H239">
        <v>0</v>
      </c>
      <c r="I239">
        <v>0</v>
      </c>
      <c r="J239">
        <v>0</v>
      </c>
      <c r="K239">
        <v>1</v>
      </c>
      <c r="L239" s="1">
        <v>1</v>
      </c>
      <c r="O239" t="e">
        <f>L239/N239</f>
        <v>#DIV/0!</v>
      </c>
    </row>
    <row r="240" spans="1:15" x14ac:dyDescent="0.45">
      <c r="A240">
        <v>4845</v>
      </c>
      <c r="B240" t="s">
        <v>485</v>
      </c>
      <c r="C240" t="s">
        <v>15</v>
      </c>
      <c r="D240" t="s">
        <v>221</v>
      </c>
      <c r="E240">
        <v>27</v>
      </c>
      <c r="F240" t="s">
        <v>37</v>
      </c>
      <c r="G240" t="s">
        <v>332</v>
      </c>
      <c r="H240">
        <v>3</v>
      </c>
      <c r="I240">
        <v>6.17</v>
      </c>
      <c r="J240">
        <v>6.17</v>
      </c>
      <c r="K240">
        <v>6</v>
      </c>
      <c r="L240" s="1">
        <v>5</v>
      </c>
      <c r="O240" t="e">
        <f>L240/N240</f>
        <v>#DIV/0!</v>
      </c>
    </row>
    <row r="241" spans="1:15" x14ac:dyDescent="0.45">
      <c r="A241">
        <v>4817</v>
      </c>
      <c r="B241" t="s">
        <v>427</v>
      </c>
      <c r="C241" t="s">
        <v>15</v>
      </c>
      <c r="D241" t="s">
        <v>77</v>
      </c>
      <c r="E241">
        <v>30</v>
      </c>
      <c r="F241" t="s">
        <v>37</v>
      </c>
      <c r="G241" t="s">
        <v>255</v>
      </c>
      <c r="H241">
        <v>2</v>
      </c>
      <c r="I241">
        <v>6</v>
      </c>
      <c r="J241">
        <v>6</v>
      </c>
      <c r="K241">
        <v>7</v>
      </c>
      <c r="L241" s="1">
        <v>6</v>
      </c>
      <c r="O241" t="e">
        <f>L241/N241</f>
        <v>#DIV/0!</v>
      </c>
    </row>
    <row r="242" spans="1:15" x14ac:dyDescent="0.45">
      <c r="A242">
        <v>4772</v>
      </c>
      <c r="B242" t="s">
        <v>486</v>
      </c>
      <c r="C242" t="s">
        <v>118</v>
      </c>
      <c r="D242" t="s">
        <v>16</v>
      </c>
      <c r="E242">
        <v>29</v>
      </c>
      <c r="F242" t="s">
        <v>37</v>
      </c>
      <c r="G242" t="s">
        <v>99</v>
      </c>
      <c r="H242">
        <v>0</v>
      </c>
      <c r="I242">
        <v>0</v>
      </c>
      <c r="J242">
        <v>0</v>
      </c>
      <c r="K242">
        <v>6</v>
      </c>
      <c r="L242" s="1">
        <v>3</v>
      </c>
      <c r="O242" t="e">
        <f>L242/N242</f>
        <v>#DIV/0!</v>
      </c>
    </row>
    <row r="243" spans="1:15" x14ac:dyDescent="0.45">
      <c r="A243">
        <v>4751</v>
      </c>
      <c r="B243" t="s">
        <v>578</v>
      </c>
      <c r="C243" t="s">
        <v>15</v>
      </c>
      <c r="D243" t="s">
        <v>45</v>
      </c>
      <c r="E243">
        <v>29</v>
      </c>
      <c r="F243" t="s">
        <v>37</v>
      </c>
      <c r="G243" t="s">
        <v>141</v>
      </c>
      <c r="H243">
        <v>0</v>
      </c>
      <c r="I243">
        <v>0</v>
      </c>
      <c r="J243">
        <v>0</v>
      </c>
      <c r="K243">
        <v>4</v>
      </c>
      <c r="L243" s="1">
        <v>6</v>
      </c>
      <c r="O243" t="e">
        <f>L243/N243</f>
        <v>#DIV/0!</v>
      </c>
    </row>
    <row r="244" spans="1:15" x14ac:dyDescent="0.45">
      <c r="A244">
        <v>4728</v>
      </c>
      <c r="B244" t="s">
        <v>303</v>
      </c>
      <c r="C244" t="s">
        <v>118</v>
      </c>
      <c r="D244" t="s">
        <v>45</v>
      </c>
      <c r="E244">
        <v>29</v>
      </c>
      <c r="F244" t="s">
        <v>17</v>
      </c>
      <c r="G244" t="s">
        <v>17</v>
      </c>
      <c r="H244">
        <v>0</v>
      </c>
      <c r="I244">
        <v>0</v>
      </c>
      <c r="J244">
        <v>0</v>
      </c>
      <c r="K244">
        <v>10</v>
      </c>
      <c r="L244" s="1">
        <v>13</v>
      </c>
      <c r="O244" t="e">
        <f>L244/N244</f>
        <v>#DIV/0!</v>
      </c>
    </row>
    <row r="245" spans="1:15" x14ac:dyDescent="0.45">
      <c r="A245">
        <v>4686</v>
      </c>
      <c r="B245" t="s">
        <v>509</v>
      </c>
      <c r="C245" t="s">
        <v>118</v>
      </c>
      <c r="D245" t="s">
        <v>45</v>
      </c>
      <c r="E245">
        <v>27</v>
      </c>
      <c r="F245" t="s">
        <v>33</v>
      </c>
      <c r="G245" t="s">
        <v>41</v>
      </c>
      <c r="H245">
        <v>0</v>
      </c>
      <c r="I245">
        <v>0</v>
      </c>
      <c r="J245">
        <v>0</v>
      </c>
      <c r="K245">
        <v>5</v>
      </c>
      <c r="L245" s="1">
        <v>4</v>
      </c>
      <c r="O245" t="e">
        <f>L245/N245</f>
        <v>#DIV/0!</v>
      </c>
    </row>
    <row r="246" spans="1:15" x14ac:dyDescent="0.45">
      <c r="A246">
        <v>4518</v>
      </c>
      <c r="B246" t="s">
        <v>718</v>
      </c>
      <c r="C246" t="s">
        <v>15</v>
      </c>
      <c r="D246" t="s">
        <v>85</v>
      </c>
      <c r="E246">
        <v>25</v>
      </c>
      <c r="F246" t="s">
        <v>108</v>
      </c>
      <c r="G246" t="s">
        <v>109</v>
      </c>
      <c r="H246">
        <v>0</v>
      </c>
      <c r="I246">
        <v>0</v>
      </c>
      <c r="J246">
        <v>0</v>
      </c>
      <c r="K246">
        <v>1</v>
      </c>
      <c r="L246" s="1">
        <v>1</v>
      </c>
      <c r="O246" t="e">
        <f>L246/N246</f>
        <v>#DIV/0!</v>
      </c>
    </row>
    <row r="247" spans="1:15" x14ac:dyDescent="0.45">
      <c r="A247">
        <v>4510</v>
      </c>
      <c r="B247" t="s">
        <v>117</v>
      </c>
      <c r="C247" t="s">
        <v>118</v>
      </c>
      <c r="D247" t="s">
        <v>45</v>
      </c>
      <c r="E247">
        <v>27</v>
      </c>
      <c r="F247" t="s">
        <v>17</v>
      </c>
      <c r="G247" t="s">
        <v>17</v>
      </c>
      <c r="H247">
        <v>0</v>
      </c>
      <c r="I247">
        <v>0</v>
      </c>
      <c r="J247">
        <v>0</v>
      </c>
      <c r="K247">
        <v>38</v>
      </c>
      <c r="L247" s="1">
        <v>18</v>
      </c>
      <c r="O247" t="e">
        <f>L247/N247</f>
        <v>#DIV/0!</v>
      </c>
    </row>
    <row r="248" spans="1:15" x14ac:dyDescent="0.45">
      <c r="A248">
        <v>4468</v>
      </c>
      <c r="B248" t="s">
        <v>719</v>
      </c>
      <c r="C248" t="s">
        <v>15</v>
      </c>
      <c r="D248" t="s">
        <v>276</v>
      </c>
      <c r="E248">
        <v>31</v>
      </c>
      <c r="F248" t="s">
        <v>108</v>
      </c>
      <c r="G248" t="s">
        <v>109</v>
      </c>
      <c r="H248">
        <v>0</v>
      </c>
      <c r="I248">
        <v>0</v>
      </c>
      <c r="J248">
        <v>0</v>
      </c>
      <c r="K248">
        <v>1</v>
      </c>
      <c r="L248" s="1">
        <v>1</v>
      </c>
      <c r="O248" t="e">
        <f>L248/N248</f>
        <v>#DIV/0!</v>
      </c>
    </row>
    <row r="249" spans="1:15" x14ac:dyDescent="0.45">
      <c r="A249">
        <v>4461</v>
      </c>
      <c r="B249" t="s">
        <v>579</v>
      </c>
      <c r="C249" t="s">
        <v>118</v>
      </c>
      <c r="D249" t="s">
        <v>242</v>
      </c>
      <c r="E249">
        <v>27</v>
      </c>
      <c r="F249" t="s">
        <v>37</v>
      </c>
      <c r="G249" t="s">
        <v>297</v>
      </c>
      <c r="H249">
        <v>1</v>
      </c>
      <c r="I249">
        <v>6</v>
      </c>
      <c r="J249">
        <v>6</v>
      </c>
      <c r="K249">
        <v>4</v>
      </c>
      <c r="L249" s="1">
        <v>4</v>
      </c>
      <c r="O249" t="e">
        <f>L249/N249</f>
        <v>#DIV/0!</v>
      </c>
    </row>
    <row r="250" spans="1:15" x14ac:dyDescent="0.45">
      <c r="A250">
        <v>4459</v>
      </c>
      <c r="B250" t="s">
        <v>363</v>
      </c>
      <c r="C250" t="s">
        <v>15</v>
      </c>
      <c r="D250" t="s">
        <v>77</v>
      </c>
      <c r="E250">
        <v>25</v>
      </c>
      <c r="F250" t="s">
        <v>33</v>
      </c>
      <c r="G250" t="s">
        <v>41</v>
      </c>
      <c r="H250">
        <v>2</v>
      </c>
      <c r="I250">
        <v>6.25</v>
      </c>
      <c r="J250">
        <v>6.25</v>
      </c>
      <c r="K250">
        <v>8</v>
      </c>
      <c r="L250" s="1">
        <v>7</v>
      </c>
      <c r="O250" t="e">
        <f>L250/N250</f>
        <v>#DIV/0!</v>
      </c>
    </row>
    <row r="251" spans="1:15" x14ac:dyDescent="0.45">
      <c r="A251">
        <v>4401</v>
      </c>
      <c r="B251" t="s">
        <v>428</v>
      </c>
      <c r="C251" t="s">
        <v>15</v>
      </c>
      <c r="D251" t="s">
        <v>45</v>
      </c>
      <c r="E251">
        <v>27</v>
      </c>
      <c r="F251" t="s">
        <v>37</v>
      </c>
      <c r="G251" t="s">
        <v>141</v>
      </c>
      <c r="H251">
        <v>1</v>
      </c>
      <c r="I251">
        <v>6</v>
      </c>
      <c r="J251">
        <v>6</v>
      </c>
      <c r="K251">
        <v>7</v>
      </c>
      <c r="L251" s="1">
        <v>7</v>
      </c>
      <c r="O251" t="e">
        <f>L251/N251</f>
        <v>#DIV/0!</v>
      </c>
    </row>
    <row r="252" spans="1:15" x14ac:dyDescent="0.45">
      <c r="A252">
        <v>4378</v>
      </c>
      <c r="B252" t="s">
        <v>535</v>
      </c>
      <c r="C252" t="s">
        <v>15</v>
      </c>
      <c r="D252" t="s">
        <v>123</v>
      </c>
      <c r="E252">
        <v>27</v>
      </c>
      <c r="F252" t="s">
        <v>37</v>
      </c>
      <c r="G252" t="s">
        <v>248</v>
      </c>
      <c r="H252">
        <v>2</v>
      </c>
      <c r="I252">
        <v>5.5</v>
      </c>
      <c r="J252">
        <v>5.5</v>
      </c>
      <c r="K252">
        <v>5</v>
      </c>
      <c r="L252" s="1">
        <v>2</v>
      </c>
      <c r="O252" t="e">
        <f>L252/N252</f>
        <v>#DIV/0!</v>
      </c>
    </row>
    <row r="253" spans="1:15" x14ac:dyDescent="0.45">
      <c r="A253">
        <v>4375</v>
      </c>
      <c r="B253" t="s">
        <v>580</v>
      </c>
      <c r="C253" t="s">
        <v>15</v>
      </c>
      <c r="D253" t="s">
        <v>148</v>
      </c>
      <c r="E253">
        <v>27</v>
      </c>
      <c r="F253" t="s">
        <v>37</v>
      </c>
      <c r="G253" t="s">
        <v>255</v>
      </c>
      <c r="H253">
        <v>2</v>
      </c>
      <c r="I253">
        <v>5.75</v>
      </c>
      <c r="J253">
        <v>5.75</v>
      </c>
      <c r="K253">
        <v>4</v>
      </c>
      <c r="L253" s="1">
        <v>4</v>
      </c>
      <c r="O253" t="e">
        <f>L253/N253</f>
        <v>#DIV/0!</v>
      </c>
    </row>
    <row r="254" spans="1:15" x14ac:dyDescent="0.45">
      <c r="A254">
        <v>4374</v>
      </c>
      <c r="B254" t="s">
        <v>536</v>
      </c>
      <c r="C254" t="s">
        <v>15</v>
      </c>
      <c r="D254" t="s">
        <v>85</v>
      </c>
      <c r="E254">
        <v>26</v>
      </c>
      <c r="F254" t="s">
        <v>37</v>
      </c>
      <c r="G254" t="s">
        <v>178</v>
      </c>
      <c r="H254">
        <v>0</v>
      </c>
      <c r="I254">
        <v>0</v>
      </c>
      <c r="J254">
        <v>0</v>
      </c>
      <c r="K254">
        <v>5</v>
      </c>
      <c r="L254" s="1">
        <v>3</v>
      </c>
      <c r="O254" t="e">
        <f>L254/N254</f>
        <v>#DIV/0!</v>
      </c>
    </row>
    <row r="255" spans="1:15" x14ac:dyDescent="0.45">
      <c r="A255">
        <v>4349</v>
      </c>
      <c r="B255" t="s">
        <v>364</v>
      </c>
      <c r="C255" t="s">
        <v>15</v>
      </c>
      <c r="D255" t="s">
        <v>223</v>
      </c>
      <c r="E255">
        <v>26</v>
      </c>
      <c r="F255" t="s">
        <v>33</v>
      </c>
      <c r="G255" t="s">
        <v>41</v>
      </c>
      <c r="H255">
        <v>0</v>
      </c>
      <c r="I255">
        <v>0</v>
      </c>
      <c r="J255">
        <v>0</v>
      </c>
      <c r="K255">
        <v>8</v>
      </c>
      <c r="L255" s="1">
        <v>5</v>
      </c>
      <c r="O255" t="e">
        <f>L255/N255</f>
        <v>#DIV/0!</v>
      </c>
    </row>
    <row r="256" spans="1:15" x14ac:dyDescent="0.45">
      <c r="A256">
        <v>4263</v>
      </c>
      <c r="B256" t="s">
        <v>489</v>
      </c>
      <c r="C256" t="s">
        <v>15</v>
      </c>
      <c r="D256" t="s">
        <v>80</v>
      </c>
      <c r="E256">
        <v>35</v>
      </c>
      <c r="F256" t="s">
        <v>37</v>
      </c>
      <c r="G256" t="s">
        <v>141</v>
      </c>
      <c r="H256">
        <v>1</v>
      </c>
      <c r="I256">
        <v>5.5</v>
      </c>
      <c r="J256">
        <v>5.5</v>
      </c>
      <c r="K256">
        <v>6</v>
      </c>
      <c r="L256" s="1">
        <v>4</v>
      </c>
      <c r="O256" t="e">
        <f>L256/N256</f>
        <v>#DIV/0!</v>
      </c>
    </row>
    <row r="257" spans="1:15" x14ac:dyDescent="0.45">
      <c r="A257">
        <v>4260</v>
      </c>
      <c r="B257" t="s">
        <v>365</v>
      </c>
      <c r="C257" t="s">
        <v>15</v>
      </c>
      <c r="D257" t="s">
        <v>242</v>
      </c>
      <c r="E257">
        <v>30</v>
      </c>
      <c r="F257" t="s">
        <v>33</v>
      </c>
      <c r="G257" t="s">
        <v>41</v>
      </c>
      <c r="H257">
        <v>3</v>
      </c>
      <c r="I257">
        <v>5.83</v>
      </c>
      <c r="J257">
        <v>5.83</v>
      </c>
      <c r="K257">
        <v>8</v>
      </c>
      <c r="L257" s="1">
        <v>7</v>
      </c>
      <c r="O257" t="e">
        <f>L257/N257</f>
        <v>#DIV/0!</v>
      </c>
    </row>
    <row r="258" spans="1:15" x14ac:dyDescent="0.45">
      <c r="A258">
        <v>4210</v>
      </c>
      <c r="B258" t="s">
        <v>330</v>
      </c>
      <c r="C258" t="s">
        <v>15</v>
      </c>
      <c r="D258" t="s">
        <v>242</v>
      </c>
      <c r="E258">
        <v>32</v>
      </c>
      <c r="F258" t="s">
        <v>37</v>
      </c>
      <c r="G258" t="s">
        <v>141</v>
      </c>
      <c r="H258">
        <v>0</v>
      </c>
      <c r="I258">
        <v>0</v>
      </c>
      <c r="J258">
        <v>0</v>
      </c>
      <c r="K258">
        <v>10</v>
      </c>
      <c r="L258" s="1">
        <v>7</v>
      </c>
      <c r="O258" t="e">
        <f>L258/N258</f>
        <v>#DIV/0!</v>
      </c>
    </row>
    <row r="259" spans="1:15" x14ac:dyDescent="0.45">
      <c r="A259">
        <v>4147</v>
      </c>
      <c r="B259" t="s">
        <v>490</v>
      </c>
      <c r="C259" t="s">
        <v>15</v>
      </c>
      <c r="D259" t="s">
        <v>85</v>
      </c>
      <c r="E259">
        <v>30</v>
      </c>
      <c r="F259" t="s">
        <v>37</v>
      </c>
      <c r="G259" t="s">
        <v>141</v>
      </c>
      <c r="H259">
        <v>0</v>
      </c>
      <c r="I259">
        <v>0</v>
      </c>
      <c r="J259">
        <v>0</v>
      </c>
      <c r="K259">
        <v>6</v>
      </c>
      <c r="L259" s="1">
        <v>6</v>
      </c>
      <c r="O259" t="e">
        <f>L259/N259</f>
        <v>#DIV/0!</v>
      </c>
    </row>
    <row r="260" spans="1:15" x14ac:dyDescent="0.45">
      <c r="A260">
        <v>2874</v>
      </c>
      <c r="B260" t="s">
        <v>720</v>
      </c>
      <c r="C260" t="s">
        <v>15</v>
      </c>
      <c r="D260" t="s">
        <v>223</v>
      </c>
      <c r="E260">
        <v>26</v>
      </c>
      <c r="F260" t="s">
        <v>108</v>
      </c>
      <c r="G260" t="s">
        <v>109</v>
      </c>
      <c r="H260">
        <v>0</v>
      </c>
      <c r="I260">
        <v>0</v>
      </c>
      <c r="J260">
        <v>0</v>
      </c>
      <c r="K260">
        <v>1</v>
      </c>
      <c r="L260" s="1">
        <v>1</v>
      </c>
      <c r="O260" t="e">
        <f>L260/N260</f>
        <v>#DIV/0!</v>
      </c>
    </row>
    <row r="261" spans="1:15" x14ac:dyDescent="0.45">
      <c r="A261">
        <v>2857</v>
      </c>
      <c r="B261" t="s">
        <v>462</v>
      </c>
      <c r="C261" t="s">
        <v>15</v>
      </c>
      <c r="D261" t="s">
        <v>151</v>
      </c>
      <c r="E261">
        <v>26</v>
      </c>
      <c r="F261" t="s">
        <v>33</v>
      </c>
      <c r="G261" t="s">
        <v>171</v>
      </c>
      <c r="H261">
        <v>0</v>
      </c>
      <c r="I261">
        <v>0</v>
      </c>
      <c r="J261">
        <v>0</v>
      </c>
      <c r="K261">
        <v>6</v>
      </c>
      <c r="L261" s="1">
        <v>4</v>
      </c>
      <c r="O261" t="e">
        <f>L261/N261</f>
        <v>#DIV/0!</v>
      </c>
    </row>
    <row r="262" spans="1:15" x14ac:dyDescent="0.45">
      <c r="A262">
        <v>2815</v>
      </c>
      <c r="B262" t="s">
        <v>722</v>
      </c>
      <c r="C262" t="s">
        <v>15</v>
      </c>
      <c r="D262" t="s">
        <v>45</v>
      </c>
      <c r="E262">
        <v>36</v>
      </c>
      <c r="F262" t="s">
        <v>108</v>
      </c>
      <c r="G262" t="s">
        <v>109</v>
      </c>
      <c r="H262">
        <v>0</v>
      </c>
      <c r="I262">
        <v>0</v>
      </c>
      <c r="J262">
        <v>0</v>
      </c>
      <c r="K262">
        <v>1</v>
      </c>
      <c r="L262" s="1">
        <v>1</v>
      </c>
      <c r="O262" t="e">
        <f>L262/N262</f>
        <v>#DIV/0!</v>
      </c>
    </row>
    <row r="263" spans="1:15" x14ac:dyDescent="0.45">
      <c r="A263">
        <v>2741</v>
      </c>
      <c r="B263" t="s">
        <v>368</v>
      </c>
      <c r="C263" t="s">
        <v>15</v>
      </c>
      <c r="D263" t="s">
        <v>211</v>
      </c>
      <c r="E263">
        <v>29</v>
      </c>
      <c r="F263" t="s">
        <v>33</v>
      </c>
      <c r="G263" t="s">
        <v>41</v>
      </c>
      <c r="H263">
        <v>0</v>
      </c>
      <c r="I263">
        <v>0</v>
      </c>
      <c r="J263">
        <v>0</v>
      </c>
      <c r="K263">
        <v>8</v>
      </c>
      <c r="L263" s="1">
        <v>6</v>
      </c>
      <c r="O263" t="e">
        <f>L263/N263</f>
        <v>#DIV/0!</v>
      </c>
    </row>
    <row r="264" spans="1:15" x14ac:dyDescent="0.45">
      <c r="A264">
        <v>2728</v>
      </c>
      <c r="B264" t="s">
        <v>581</v>
      </c>
      <c r="C264" t="s">
        <v>15</v>
      </c>
      <c r="D264" t="s">
        <v>77</v>
      </c>
      <c r="E264">
        <v>27</v>
      </c>
      <c r="F264" t="s">
        <v>37</v>
      </c>
      <c r="G264" t="s">
        <v>255</v>
      </c>
      <c r="H264">
        <v>0</v>
      </c>
      <c r="I264">
        <v>0</v>
      </c>
      <c r="J264">
        <v>0</v>
      </c>
      <c r="K264">
        <v>4</v>
      </c>
      <c r="L264" s="1">
        <v>1</v>
      </c>
      <c r="O264" t="e">
        <f>L264/N264</f>
        <v>#DIV/0!</v>
      </c>
    </row>
    <row r="265" spans="1:15" x14ac:dyDescent="0.45">
      <c r="A265">
        <v>2724</v>
      </c>
      <c r="B265" t="s">
        <v>381</v>
      </c>
      <c r="C265" t="s">
        <v>15</v>
      </c>
      <c r="D265" t="s">
        <v>26</v>
      </c>
      <c r="E265">
        <v>27</v>
      </c>
      <c r="F265" t="s">
        <v>37</v>
      </c>
      <c r="G265" t="s">
        <v>141</v>
      </c>
      <c r="H265">
        <v>0</v>
      </c>
      <c r="I265">
        <v>0</v>
      </c>
      <c r="J265">
        <v>0</v>
      </c>
      <c r="K265">
        <v>8</v>
      </c>
      <c r="L265" s="1">
        <v>6</v>
      </c>
      <c r="O265" t="e">
        <f>L265/N265</f>
        <v>#DIV/0!</v>
      </c>
    </row>
    <row r="266" spans="1:15" x14ac:dyDescent="0.45">
      <c r="A266">
        <v>2593</v>
      </c>
      <c r="B266" t="s">
        <v>583</v>
      </c>
      <c r="C266" t="s">
        <v>118</v>
      </c>
      <c r="D266" t="s">
        <v>151</v>
      </c>
      <c r="E266">
        <v>29</v>
      </c>
      <c r="F266" t="s">
        <v>37</v>
      </c>
      <c r="G266" t="s">
        <v>255</v>
      </c>
      <c r="H266">
        <v>0</v>
      </c>
      <c r="I266">
        <v>0</v>
      </c>
      <c r="J266">
        <v>0</v>
      </c>
      <c r="K266">
        <v>4</v>
      </c>
      <c r="L266" s="1">
        <v>4</v>
      </c>
      <c r="O266" t="e">
        <f>L266/N266</f>
        <v>#DIV/0!</v>
      </c>
    </row>
    <row r="267" spans="1:15" x14ac:dyDescent="0.45">
      <c r="A267">
        <v>2531</v>
      </c>
      <c r="B267" t="s">
        <v>179</v>
      </c>
      <c r="C267" t="s">
        <v>118</v>
      </c>
      <c r="D267" t="s">
        <v>26</v>
      </c>
      <c r="E267">
        <v>33</v>
      </c>
      <c r="F267" t="s">
        <v>17</v>
      </c>
      <c r="G267" t="s">
        <v>18</v>
      </c>
      <c r="H267">
        <v>0</v>
      </c>
      <c r="I267">
        <v>0</v>
      </c>
      <c r="J267">
        <v>0</v>
      </c>
      <c r="K267">
        <v>23</v>
      </c>
      <c r="L267" s="1">
        <v>10</v>
      </c>
      <c r="O267" t="e">
        <f>L267/N267</f>
        <v>#DIV/0!</v>
      </c>
    </row>
    <row r="268" spans="1:15" x14ac:dyDescent="0.45">
      <c r="A268">
        <v>2529</v>
      </c>
      <c r="B268" t="s">
        <v>510</v>
      </c>
      <c r="C268" t="s">
        <v>15</v>
      </c>
      <c r="D268" t="s">
        <v>22</v>
      </c>
      <c r="E268">
        <v>37</v>
      </c>
      <c r="F268" t="s">
        <v>33</v>
      </c>
      <c r="G268" t="s">
        <v>33</v>
      </c>
      <c r="H268">
        <v>0</v>
      </c>
      <c r="I268">
        <v>0</v>
      </c>
      <c r="J268">
        <v>0</v>
      </c>
      <c r="K268">
        <v>5</v>
      </c>
      <c r="L268" s="1">
        <v>4</v>
      </c>
      <c r="O268" t="e">
        <f>L268/N268</f>
        <v>#DIV/0!</v>
      </c>
    </row>
    <row r="269" spans="1:15" x14ac:dyDescent="0.45">
      <c r="A269">
        <v>2401</v>
      </c>
      <c r="B269" t="s">
        <v>724</v>
      </c>
      <c r="C269" t="s">
        <v>118</v>
      </c>
      <c r="D269" t="s">
        <v>276</v>
      </c>
      <c r="E269">
        <v>26</v>
      </c>
      <c r="F269" t="s">
        <v>108</v>
      </c>
      <c r="G269" t="s">
        <v>109</v>
      </c>
      <c r="H269">
        <v>0</v>
      </c>
      <c r="I269">
        <v>0</v>
      </c>
      <c r="J269">
        <v>0</v>
      </c>
      <c r="K269">
        <v>1</v>
      </c>
      <c r="L269" s="1">
        <v>1</v>
      </c>
      <c r="O269" t="e">
        <f>L269/N269</f>
        <v>#DIV/0!</v>
      </c>
    </row>
    <row r="270" spans="1:15" x14ac:dyDescent="0.45">
      <c r="A270">
        <v>2297</v>
      </c>
      <c r="B270" t="s">
        <v>725</v>
      </c>
      <c r="C270" t="s">
        <v>118</v>
      </c>
      <c r="D270" t="s">
        <v>93</v>
      </c>
      <c r="E270">
        <v>35</v>
      </c>
      <c r="F270" t="s">
        <v>108</v>
      </c>
      <c r="G270" t="s">
        <v>109</v>
      </c>
      <c r="H270">
        <v>0</v>
      </c>
      <c r="I270">
        <v>0</v>
      </c>
      <c r="J270">
        <v>0</v>
      </c>
      <c r="K270">
        <v>1</v>
      </c>
      <c r="L270" s="1">
        <v>1</v>
      </c>
      <c r="O270" t="e">
        <f>L270/N270</f>
        <v>#DIV/0!</v>
      </c>
    </row>
    <row r="271" spans="1:15" x14ac:dyDescent="0.45">
      <c r="A271">
        <v>2263</v>
      </c>
      <c r="B271" t="s">
        <v>609</v>
      </c>
      <c r="C271" t="s">
        <v>15</v>
      </c>
      <c r="D271" t="s">
        <v>77</v>
      </c>
      <c r="E271">
        <v>33</v>
      </c>
      <c r="F271" t="s">
        <v>37</v>
      </c>
      <c r="G271" t="s">
        <v>208</v>
      </c>
      <c r="H271">
        <v>0</v>
      </c>
      <c r="I271">
        <v>0</v>
      </c>
      <c r="J271">
        <v>0</v>
      </c>
      <c r="K271">
        <v>3</v>
      </c>
      <c r="L271" s="1">
        <v>1</v>
      </c>
      <c r="O271" t="e">
        <f>L271/N271</f>
        <v>#DIV/0!</v>
      </c>
    </row>
    <row r="272" spans="1:15" x14ac:dyDescent="0.45">
      <c r="A272">
        <v>2169</v>
      </c>
      <c r="B272" t="s">
        <v>491</v>
      </c>
      <c r="C272" t="s">
        <v>15</v>
      </c>
      <c r="D272" t="s">
        <v>121</v>
      </c>
      <c r="E272">
        <v>34</v>
      </c>
      <c r="F272" t="s">
        <v>37</v>
      </c>
      <c r="G272" t="s">
        <v>325</v>
      </c>
      <c r="H272">
        <v>0</v>
      </c>
      <c r="I272">
        <v>0</v>
      </c>
      <c r="J272">
        <v>0</v>
      </c>
      <c r="K272">
        <v>6</v>
      </c>
      <c r="L272" s="1">
        <v>5</v>
      </c>
      <c r="O272" t="e">
        <f>L272/N272</f>
        <v>#DIV/0!</v>
      </c>
    </row>
    <row r="273" spans="1:15" x14ac:dyDescent="0.45">
      <c r="A273">
        <v>2127</v>
      </c>
      <c r="B273" t="s">
        <v>726</v>
      </c>
      <c r="C273" t="s">
        <v>15</v>
      </c>
      <c r="D273" t="s">
        <v>85</v>
      </c>
      <c r="E273">
        <v>27</v>
      </c>
      <c r="F273" t="s">
        <v>108</v>
      </c>
      <c r="G273" t="s">
        <v>109</v>
      </c>
      <c r="H273">
        <v>0</v>
      </c>
      <c r="I273">
        <v>0</v>
      </c>
      <c r="J273">
        <v>0</v>
      </c>
      <c r="K273">
        <v>1</v>
      </c>
      <c r="L273" s="1">
        <v>1</v>
      </c>
      <c r="O273" t="e">
        <f>L273/N273</f>
        <v>#DIV/0!</v>
      </c>
    </row>
    <row r="274" spans="1:15" x14ac:dyDescent="0.45">
      <c r="A274">
        <v>2115</v>
      </c>
      <c r="B274" t="s">
        <v>492</v>
      </c>
      <c r="C274" t="s">
        <v>118</v>
      </c>
      <c r="D274" t="s">
        <v>211</v>
      </c>
      <c r="E274">
        <v>27</v>
      </c>
      <c r="F274" t="s">
        <v>37</v>
      </c>
      <c r="G274" t="s">
        <v>141</v>
      </c>
      <c r="H274">
        <v>1</v>
      </c>
      <c r="I274">
        <v>6</v>
      </c>
      <c r="J274">
        <v>6</v>
      </c>
      <c r="K274">
        <v>6</v>
      </c>
      <c r="L274" s="1">
        <v>4</v>
      </c>
      <c r="O274" t="e">
        <f>L274/N274</f>
        <v>#DIV/0!</v>
      </c>
    </row>
    <row r="275" spans="1:15" x14ac:dyDescent="0.45">
      <c r="A275">
        <v>2012</v>
      </c>
      <c r="B275" t="s">
        <v>622</v>
      </c>
      <c r="C275" t="s">
        <v>15</v>
      </c>
      <c r="D275" t="s">
        <v>66</v>
      </c>
      <c r="E275">
        <v>32</v>
      </c>
      <c r="F275" t="s">
        <v>17</v>
      </c>
      <c r="G275" t="s">
        <v>18</v>
      </c>
      <c r="H275">
        <v>0</v>
      </c>
      <c r="I275">
        <v>0</v>
      </c>
      <c r="J275">
        <v>0</v>
      </c>
      <c r="K275">
        <v>2</v>
      </c>
      <c r="L275" s="1">
        <v>4</v>
      </c>
      <c r="O275" t="e">
        <f>L275/N275</f>
        <v>#DIV/0!</v>
      </c>
    </row>
    <row r="276" spans="1:15" x14ac:dyDescent="0.45">
      <c r="A276">
        <v>1930</v>
      </c>
      <c r="B276" t="s">
        <v>727</v>
      </c>
      <c r="C276" t="s">
        <v>15</v>
      </c>
      <c r="D276" t="s">
        <v>66</v>
      </c>
      <c r="E276">
        <v>36</v>
      </c>
      <c r="F276" t="s">
        <v>108</v>
      </c>
      <c r="G276" t="s">
        <v>109</v>
      </c>
      <c r="H276">
        <v>0</v>
      </c>
      <c r="I276">
        <v>0</v>
      </c>
      <c r="J276">
        <v>0</v>
      </c>
      <c r="K276">
        <v>1</v>
      </c>
      <c r="L276" s="1">
        <v>1</v>
      </c>
      <c r="O276" t="e">
        <f>L276/N276</f>
        <v>#DIV/0!</v>
      </c>
    </row>
    <row r="277" spans="1:15" x14ac:dyDescent="0.45">
      <c r="A277">
        <v>1871</v>
      </c>
      <c r="B277" t="s">
        <v>561</v>
      </c>
      <c r="C277" t="s">
        <v>15</v>
      </c>
      <c r="D277" t="s">
        <v>242</v>
      </c>
      <c r="E277">
        <v>31</v>
      </c>
      <c r="F277" t="s">
        <v>33</v>
      </c>
      <c r="G277" t="s">
        <v>41</v>
      </c>
      <c r="H277">
        <v>3</v>
      </c>
      <c r="I277">
        <v>6</v>
      </c>
      <c r="J277">
        <v>5.67</v>
      </c>
      <c r="K277">
        <v>4</v>
      </c>
      <c r="L277" s="1">
        <v>4</v>
      </c>
      <c r="O277" t="e">
        <f>L277/N277</f>
        <v>#DIV/0!</v>
      </c>
    </row>
    <row r="278" spans="1:15" x14ac:dyDescent="0.45">
      <c r="A278">
        <v>801</v>
      </c>
      <c r="B278" t="s">
        <v>562</v>
      </c>
      <c r="C278" t="s">
        <v>15</v>
      </c>
      <c r="D278" t="s">
        <v>242</v>
      </c>
      <c r="E278">
        <v>32</v>
      </c>
      <c r="F278" t="s">
        <v>33</v>
      </c>
      <c r="G278" t="s">
        <v>41</v>
      </c>
      <c r="H278">
        <v>1</v>
      </c>
      <c r="I278">
        <v>5.5</v>
      </c>
      <c r="J278">
        <v>5.5</v>
      </c>
      <c r="K278">
        <v>4</v>
      </c>
      <c r="L278" s="1">
        <v>3</v>
      </c>
      <c r="O278" t="e">
        <f>L278/N278</f>
        <v>#DIV/0!</v>
      </c>
    </row>
    <row r="279" spans="1:15" x14ac:dyDescent="0.45">
      <c r="A279">
        <v>791</v>
      </c>
      <c r="B279" t="s">
        <v>610</v>
      </c>
      <c r="C279" t="s">
        <v>15</v>
      </c>
      <c r="D279" t="s">
        <v>151</v>
      </c>
      <c r="E279">
        <v>33</v>
      </c>
      <c r="F279" t="s">
        <v>37</v>
      </c>
      <c r="G279" t="s">
        <v>332</v>
      </c>
      <c r="H279">
        <v>1</v>
      </c>
      <c r="I279">
        <v>5</v>
      </c>
      <c r="J279">
        <v>5</v>
      </c>
      <c r="K279">
        <v>3</v>
      </c>
      <c r="L279" s="1">
        <v>2</v>
      </c>
      <c r="O279" t="e">
        <f>L279/N279</f>
        <v>#DIV/0!</v>
      </c>
    </row>
    <row r="280" spans="1:15" x14ac:dyDescent="0.45">
      <c r="A280">
        <v>787</v>
      </c>
      <c r="B280" t="s">
        <v>382</v>
      </c>
      <c r="C280" t="s">
        <v>118</v>
      </c>
      <c r="D280" t="s">
        <v>93</v>
      </c>
      <c r="E280">
        <v>33</v>
      </c>
      <c r="F280" t="s">
        <v>37</v>
      </c>
      <c r="G280" t="s">
        <v>141</v>
      </c>
      <c r="H280">
        <v>0</v>
      </c>
      <c r="I280">
        <v>0</v>
      </c>
      <c r="J280">
        <v>0</v>
      </c>
      <c r="K280">
        <v>8</v>
      </c>
      <c r="L280" s="1">
        <v>7</v>
      </c>
      <c r="O280" t="e">
        <f>L280/N280</f>
        <v>#DIV/0!</v>
      </c>
    </row>
    <row r="281" spans="1:15" x14ac:dyDescent="0.45">
      <c r="A281">
        <v>543</v>
      </c>
      <c r="B281" t="s">
        <v>730</v>
      </c>
      <c r="C281" t="s">
        <v>15</v>
      </c>
      <c r="D281" t="s">
        <v>80</v>
      </c>
      <c r="E281">
        <v>41</v>
      </c>
      <c r="F281" t="s">
        <v>108</v>
      </c>
      <c r="G281" t="s">
        <v>109</v>
      </c>
      <c r="H281">
        <v>0</v>
      </c>
      <c r="I281">
        <v>0</v>
      </c>
      <c r="J281">
        <v>0</v>
      </c>
      <c r="K281">
        <v>1</v>
      </c>
      <c r="L281" s="1">
        <v>1</v>
      </c>
      <c r="O281" t="e">
        <f>L281/N281</f>
        <v>#DIV/0!</v>
      </c>
    </row>
    <row r="282" spans="1:15" x14ac:dyDescent="0.45">
      <c r="A282">
        <v>526</v>
      </c>
      <c r="B282" t="s">
        <v>633</v>
      </c>
      <c r="C282" t="s">
        <v>15</v>
      </c>
      <c r="D282" t="s">
        <v>221</v>
      </c>
      <c r="E282">
        <v>33</v>
      </c>
      <c r="F282" t="s">
        <v>33</v>
      </c>
      <c r="G282" t="s">
        <v>33</v>
      </c>
      <c r="H282">
        <v>0</v>
      </c>
      <c r="I282">
        <v>0</v>
      </c>
      <c r="J282">
        <v>0</v>
      </c>
      <c r="K282">
        <v>2</v>
      </c>
      <c r="L282" s="1">
        <v>1</v>
      </c>
      <c r="O282" t="e">
        <f>L282/N282</f>
        <v>#DIV/0!</v>
      </c>
    </row>
    <row r="283" spans="1:15" x14ac:dyDescent="0.45">
      <c r="A283">
        <v>487</v>
      </c>
      <c r="B283" t="s">
        <v>647</v>
      </c>
      <c r="C283" t="s">
        <v>15</v>
      </c>
      <c r="D283" t="s">
        <v>62</v>
      </c>
      <c r="E283">
        <v>38</v>
      </c>
      <c r="F283" t="s">
        <v>37</v>
      </c>
      <c r="G283" t="s">
        <v>208</v>
      </c>
      <c r="H283">
        <v>0</v>
      </c>
      <c r="I283">
        <v>0</v>
      </c>
      <c r="J283">
        <v>0</v>
      </c>
      <c r="K283">
        <v>2</v>
      </c>
      <c r="L283" s="1">
        <v>1</v>
      </c>
      <c r="O283" t="e">
        <f>L283/N283</f>
        <v>#DIV/0!</v>
      </c>
    </row>
    <row r="284" spans="1:15" x14ac:dyDescent="0.45">
      <c r="A284">
        <v>460</v>
      </c>
      <c r="B284" t="s">
        <v>333</v>
      </c>
      <c r="C284" t="s">
        <v>118</v>
      </c>
      <c r="D284" t="s">
        <v>77</v>
      </c>
      <c r="E284">
        <v>31</v>
      </c>
      <c r="F284" t="s">
        <v>37</v>
      </c>
      <c r="G284" t="s">
        <v>141</v>
      </c>
      <c r="H284">
        <v>0</v>
      </c>
      <c r="I284">
        <v>0</v>
      </c>
      <c r="J284">
        <v>0</v>
      </c>
      <c r="K284">
        <v>10</v>
      </c>
      <c r="L284" s="1">
        <v>6</v>
      </c>
      <c r="O284" t="e">
        <f>L284/N284</f>
        <v>#DIV/0!</v>
      </c>
    </row>
    <row r="285" spans="1:15" x14ac:dyDescent="0.45">
      <c r="A285">
        <v>418</v>
      </c>
      <c r="B285" t="s">
        <v>688</v>
      </c>
      <c r="C285" t="s">
        <v>15</v>
      </c>
      <c r="D285" t="s">
        <v>32</v>
      </c>
      <c r="E285">
        <v>33</v>
      </c>
      <c r="F285" t="s">
        <v>37</v>
      </c>
      <c r="G285" t="s">
        <v>141</v>
      </c>
      <c r="H285">
        <v>0</v>
      </c>
      <c r="I285">
        <v>0</v>
      </c>
      <c r="J285">
        <v>0</v>
      </c>
      <c r="K285">
        <v>1</v>
      </c>
      <c r="L285" s="1">
        <v>1</v>
      </c>
      <c r="O285" t="e">
        <f>L285/N285</f>
        <v>#DIV/0!</v>
      </c>
    </row>
    <row r="286" spans="1:15" x14ac:dyDescent="0.45">
      <c r="A286">
        <v>383</v>
      </c>
      <c r="B286" t="s">
        <v>590</v>
      </c>
      <c r="C286" t="s">
        <v>118</v>
      </c>
      <c r="D286" t="s">
        <v>211</v>
      </c>
      <c r="E286">
        <v>31</v>
      </c>
      <c r="F286" t="s">
        <v>17</v>
      </c>
      <c r="G286" t="s">
        <v>18</v>
      </c>
      <c r="H286">
        <v>0</v>
      </c>
      <c r="I286">
        <v>0</v>
      </c>
      <c r="J286">
        <v>0</v>
      </c>
      <c r="K286">
        <v>3</v>
      </c>
      <c r="L286" s="1">
        <v>2</v>
      </c>
      <c r="O286" t="e">
        <f>L286/N286</f>
        <v>#DIV/0!</v>
      </c>
    </row>
    <row r="287" spans="1:15" x14ac:dyDescent="0.45">
      <c r="A287">
        <v>333</v>
      </c>
      <c r="B287" t="s">
        <v>463</v>
      </c>
      <c r="C287" t="s">
        <v>15</v>
      </c>
      <c r="D287" t="s">
        <v>77</v>
      </c>
      <c r="E287">
        <v>32</v>
      </c>
      <c r="F287" t="s">
        <v>33</v>
      </c>
      <c r="G287" t="s">
        <v>41</v>
      </c>
      <c r="H287">
        <v>0</v>
      </c>
      <c r="I287">
        <v>0</v>
      </c>
      <c r="J287">
        <v>0</v>
      </c>
      <c r="K287">
        <v>6</v>
      </c>
      <c r="L287" s="1">
        <v>3</v>
      </c>
      <c r="O287" t="e">
        <f>L287/N287</f>
        <v>#DIV/0!</v>
      </c>
    </row>
    <row r="288" spans="1:15" x14ac:dyDescent="0.45">
      <c r="A288">
        <v>327</v>
      </c>
      <c r="B288" t="s">
        <v>689</v>
      </c>
      <c r="C288" t="s">
        <v>15</v>
      </c>
      <c r="D288" t="s">
        <v>77</v>
      </c>
      <c r="E288">
        <v>33</v>
      </c>
      <c r="F288" t="s">
        <v>37</v>
      </c>
      <c r="G288" t="s">
        <v>178</v>
      </c>
      <c r="H288">
        <v>0</v>
      </c>
      <c r="I288">
        <v>0</v>
      </c>
      <c r="J288">
        <v>0</v>
      </c>
      <c r="K288">
        <v>1</v>
      </c>
      <c r="L288" s="1">
        <v>1</v>
      </c>
      <c r="O288" t="e">
        <f>L288/N288</f>
        <v>#DIV/0!</v>
      </c>
    </row>
    <row r="289" spans="1:19" x14ac:dyDescent="0.45">
      <c r="A289">
        <v>313</v>
      </c>
      <c r="B289" t="s">
        <v>549</v>
      </c>
      <c r="C289" t="s">
        <v>118</v>
      </c>
      <c r="D289" t="s">
        <v>32</v>
      </c>
      <c r="E289">
        <v>34</v>
      </c>
      <c r="F289" t="s">
        <v>17</v>
      </c>
      <c r="G289" t="s">
        <v>18</v>
      </c>
      <c r="H289">
        <v>0</v>
      </c>
      <c r="I289">
        <v>0</v>
      </c>
      <c r="J289">
        <v>0</v>
      </c>
      <c r="K289">
        <v>4</v>
      </c>
      <c r="L289" s="1">
        <v>4</v>
      </c>
      <c r="O289" t="e">
        <f>L289/N289</f>
        <v>#DIV/0!</v>
      </c>
    </row>
    <row r="290" spans="1:19" x14ac:dyDescent="0.45">
      <c r="A290">
        <v>294</v>
      </c>
      <c r="B290" t="s">
        <v>648</v>
      </c>
      <c r="C290" t="s">
        <v>15</v>
      </c>
      <c r="D290" t="s">
        <v>66</v>
      </c>
      <c r="E290">
        <v>32</v>
      </c>
      <c r="F290" t="s">
        <v>37</v>
      </c>
      <c r="G290" t="s">
        <v>141</v>
      </c>
      <c r="H290">
        <v>0</v>
      </c>
      <c r="I290">
        <v>0</v>
      </c>
      <c r="J290">
        <v>0</v>
      </c>
      <c r="K290">
        <v>2</v>
      </c>
      <c r="L290" s="1">
        <v>1</v>
      </c>
      <c r="O290" t="e">
        <f>L290/N290</f>
        <v>#DIV/0!</v>
      </c>
    </row>
    <row r="291" spans="1:19" x14ac:dyDescent="0.45">
      <c r="A291">
        <v>256</v>
      </c>
      <c r="B291" t="s">
        <v>537</v>
      </c>
      <c r="C291" t="s">
        <v>15</v>
      </c>
      <c r="D291" t="s">
        <v>221</v>
      </c>
      <c r="E291">
        <v>35</v>
      </c>
      <c r="F291" t="s">
        <v>37</v>
      </c>
      <c r="G291" t="s">
        <v>248</v>
      </c>
      <c r="H291">
        <v>1</v>
      </c>
      <c r="I291">
        <v>6</v>
      </c>
      <c r="J291">
        <v>6</v>
      </c>
      <c r="K291">
        <v>5</v>
      </c>
      <c r="L291" s="1">
        <v>4</v>
      </c>
      <c r="O291" t="e">
        <f>L291/N291</f>
        <v>#DIV/0!</v>
      </c>
    </row>
    <row r="292" spans="1:19" x14ac:dyDescent="0.45">
      <c r="A292">
        <v>252</v>
      </c>
      <c r="B292" t="s">
        <v>611</v>
      </c>
      <c r="C292" t="s">
        <v>15</v>
      </c>
      <c r="D292" t="s">
        <v>121</v>
      </c>
      <c r="E292">
        <v>34</v>
      </c>
      <c r="F292" t="s">
        <v>37</v>
      </c>
      <c r="G292" t="s">
        <v>325</v>
      </c>
      <c r="H292">
        <v>0</v>
      </c>
      <c r="I292">
        <v>0</v>
      </c>
      <c r="J292">
        <v>0</v>
      </c>
      <c r="K292">
        <v>3</v>
      </c>
      <c r="L292" s="1">
        <v>1</v>
      </c>
      <c r="O292" t="e">
        <f>L292/N292</f>
        <v>#DIV/0!</v>
      </c>
    </row>
    <row r="293" spans="1:19" x14ac:dyDescent="0.45">
      <c r="A293">
        <v>219</v>
      </c>
      <c r="B293" t="s">
        <v>731</v>
      </c>
      <c r="C293" t="s">
        <v>15</v>
      </c>
      <c r="D293" t="s">
        <v>151</v>
      </c>
      <c r="E293">
        <v>29</v>
      </c>
      <c r="F293" t="s">
        <v>108</v>
      </c>
      <c r="G293" t="s">
        <v>109</v>
      </c>
      <c r="H293">
        <v>0</v>
      </c>
      <c r="I293">
        <v>0</v>
      </c>
      <c r="J293">
        <v>0</v>
      </c>
      <c r="K293">
        <v>1</v>
      </c>
      <c r="L293" s="1">
        <v>1</v>
      </c>
      <c r="O293" t="e">
        <f>L293/N293</f>
        <v>#DIV/0!</v>
      </c>
    </row>
    <row r="294" spans="1:19" x14ac:dyDescent="0.45">
      <c r="A294">
        <v>218</v>
      </c>
      <c r="B294" t="s">
        <v>616</v>
      </c>
      <c r="C294" t="s">
        <v>118</v>
      </c>
      <c r="D294" t="s">
        <v>66</v>
      </c>
      <c r="E294">
        <v>34</v>
      </c>
      <c r="F294" t="s">
        <v>108</v>
      </c>
      <c r="G294" t="s">
        <v>109</v>
      </c>
      <c r="H294">
        <v>0</v>
      </c>
      <c r="I294">
        <v>0</v>
      </c>
      <c r="J294">
        <v>0</v>
      </c>
      <c r="K294">
        <v>3</v>
      </c>
      <c r="L294" s="1">
        <v>6</v>
      </c>
      <c r="O294" t="e">
        <f>L294/N294</f>
        <v>#DIV/0!</v>
      </c>
    </row>
    <row r="295" spans="1:19" x14ac:dyDescent="0.45">
      <c r="A295">
        <v>158</v>
      </c>
      <c r="B295" t="s">
        <v>732</v>
      </c>
      <c r="C295" t="s">
        <v>15</v>
      </c>
      <c r="D295" t="s">
        <v>123</v>
      </c>
      <c r="E295">
        <v>31</v>
      </c>
      <c r="F295" t="s">
        <v>108</v>
      </c>
      <c r="G295" t="s">
        <v>109</v>
      </c>
      <c r="H295">
        <v>0</v>
      </c>
      <c r="I295">
        <v>0</v>
      </c>
      <c r="J295">
        <v>0</v>
      </c>
      <c r="K295">
        <v>1</v>
      </c>
      <c r="L295" s="1">
        <v>1</v>
      </c>
      <c r="O295" t="e">
        <f>L295/N295</f>
        <v>#DIV/0!</v>
      </c>
    </row>
    <row r="296" spans="1:19" x14ac:dyDescent="0.45">
      <c r="A296">
        <v>3</v>
      </c>
      <c r="B296" t="s">
        <v>734</v>
      </c>
      <c r="C296" t="s">
        <v>15</v>
      </c>
      <c r="D296" t="s">
        <v>242</v>
      </c>
      <c r="E296">
        <v>30</v>
      </c>
      <c r="F296" t="s">
        <v>108</v>
      </c>
      <c r="G296" t="s">
        <v>109</v>
      </c>
      <c r="H296">
        <v>0</v>
      </c>
      <c r="I296">
        <v>0</v>
      </c>
      <c r="J296">
        <v>0</v>
      </c>
      <c r="K296">
        <v>1</v>
      </c>
      <c r="L296" s="1">
        <v>1</v>
      </c>
      <c r="O296" t="e">
        <f>L296/N296</f>
        <v>#DIV/0!</v>
      </c>
    </row>
    <row r="297" spans="1:19" x14ac:dyDescent="0.45">
      <c r="A297">
        <v>5995</v>
      </c>
      <c r="B297" t="s">
        <v>101</v>
      </c>
      <c r="C297" t="s">
        <v>15</v>
      </c>
      <c r="D297" t="s">
        <v>93</v>
      </c>
      <c r="E297">
        <v>25</v>
      </c>
      <c r="F297" t="s">
        <v>17</v>
      </c>
      <c r="G297" t="s">
        <v>17</v>
      </c>
      <c r="H297">
        <v>3</v>
      </c>
      <c r="I297">
        <v>5.83</v>
      </c>
      <c r="J297">
        <v>5.83</v>
      </c>
      <c r="K297">
        <v>46</v>
      </c>
      <c r="L297" s="1">
        <v>17</v>
      </c>
      <c r="M297" t="s">
        <v>19</v>
      </c>
      <c r="N297" s="1" t="s">
        <v>102</v>
      </c>
      <c r="O297">
        <f>L297/N297</f>
        <v>17</v>
      </c>
      <c r="P297" s="1">
        <v>1</v>
      </c>
      <c r="Q297" s="1">
        <f>L297-N297</f>
        <v>16</v>
      </c>
      <c r="R297" s="1">
        <v>3</v>
      </c>
      <c r="S297">
        <f>SUM(P297,R297)</f>
        <v>4</v>
      </c>
    </row>
    <row r="298" spans="1:19" x14ac:dyDescent="0.45">
      <c r="A298">
        <v>4871</v>
      </c>
      <c r="B298" t="s">
        <v>29</v>
      </c>
      <c r="C298" t="s">
        <v>15</v>
      </c>
      <c r="D298" t="s">
        <v>22</v>
      </c>
      <c r="E298">
        <v>29</v>
      </c>
      <c r="F298" t="s">
        <v>17</v>
      </c>
      <c r="G298" t="s">
        <v>18</v>
      </c>
      <c r="H298">
        <v>2</v>
      </c>
      <c r="I298">
        <v>6.25</v>
      </c>
      <c r="J298">
        <v>7.75</v>
      </c>
      <c r="K298">
        <v>130</v>
      </c>
      <c r="L298" s="1">
        <v>28</v>
      </c>
      <c r="M298" t="s">
        <v>27</v>
      </c>
      <c r="N298" s="1" t="s">
        <v>30</v>
      </c>
      <c r="O298">
        <f>L298/N298</f>
        <v>14</v>
      </c>
      <c r="P298" s="1">
        <v>4</v>
      </c>
      <c r="Q298" s="1">
        <f>L298-N298</f>
        <v>26</v>
      </c>
      <c r="R298" s="1">
        <v>1</v>
      </c>
      <c r="S298">
        <f>SUM(P298,R298)</f>
        <v>5</v>
      </c>
    </row>
    <row r="299" spans="1:19" x14ac:dyDescent="0.45">
      <c r="A299">
        <v>4973</v>
      </c>
      <c r="B299" t="s">
        <v>131</v>
      </c>
      <c r="C299" t="s">
        <v>15</v>
      </c>
      <c r="D299" t="s">
        <v>66</v>
      </c>
      <c r="E299">
        <v>28</v>
      </c>
      <c r="F299" t="s">
        <v>33</v>
      </c>
      <c r="G299" t="s">
        <v>49</v>
      </c>
      <c r="H299">
        <v>1</v>
      </c>
      <c r="I299">
        <v>6</v>
      </c>
      <c r="J299">
        <v>6</v>
      </c>
      <c r="K299">
        <v>35</v>
      </c>
      <c r="L299" s="1">
        <v>16</v>
      </c>
      <c r="M299" t="s">
        <v>23</v>
      </c>
      <c r="N299" s="1" t="s">
        <v>102</v>
      </c>
      <c r="O299">
        <f>L299/N299</f>
        <v>16</v>
      </c>
      <c r="P299" s="1">
        <v>2</v>
      </c>
      <c r="Q299" s="1">
        <f>L299-N299</f>
        <v>15</v>
      </c>
      <c r="R299" s="1">
        <v>5</v>
      </c>
      <c r="S299">
        <f>SUM(P299,R299)</f>
        <v>7</v>
      </c>
    </row>
    <row r="300" spans="1:19" x14ac:dyDescent="0.45">
      <c r="A300">
        <v>7023</v>
      </c>
      <c r="B300" t="s">
        <v>158</v>
      </c>
      <c r="C300" t="s">
        <v>15</v>
      </c>
      <c r="D300" t="s">
        <v>123</v>
      </c>
      <c r="E300">
        <v>25</v>
      </c>
      <c r="F300" t="s">
        <v>17</v>
      </c>
      <c r="G300" t="s">
        <v>18</v>
      </c>
      <c r="H300">
        <v>4</v>
      </c>
      <c r="I300">
        <v>5.75</v>
      </c>
      <c r="J300">
        <v>7.12</v>
      </c>
      <c r="K300">
        <v>25</v>
      </c>
      <c r="L300" s="1">
        <v>14</v>
      </c>
      <c r="M300" t="s">
        <v>19</v>
      </c>
      <c r="N300" s="1" t="s">
        <v>102</v>
      </c>
      <c r="O300">
        <f>L300/N300</f>
        <v>14</v>
      </c>
      <c r="P300" s="1">
        <v>3</v>
      </c>
      <c r="Q300" s="1">
        <f>L300-N300</f>
        <v>13</v>
      </c>
      <c r="R300" s="1">
        <v>7</v>
      </c>
      <c r="S300">
        <f>SUM(P300,R300)</f>
        <v>10</v>
      </c>
    </row>
    <row r="301" spans="1:19" x14ac:dyDescent="0.45">
      <c r="A301">
        <v>7314</v>
      </c>
      <c r="B301" t="s">
        <v>180</v>
      </c>
      <c r="C301" t="s">
        <v>15</v>
      </c>
      <c r="D301" t="s">
        <v>77</v>
      </c>
      <c r="E301">
        <v>24</v>
      </c>
      <c r="F301" t="s">
        <v>33</v>
      </c>
      <c r="G301" t="s">
        <v>49</v>
      </c>
      <c r="H301">
        <v>3</v>
      </c>
      <c r="I301">
        <v>6</v>
      </c>
      <c r="J301">
        <v>6</v>
      </c>
      <c r="K301">
        <v>23</v>
      </c>
      <c r="L301" s="1">
        <v>13</v>
      </c>
      <c r="M301" t="s">
        <v>72</v>
      </c>
      <c r="N301" s="1" t="s">
        <v>102</v>
      </c>
      <c r="O301">
        <f>L301/N301</f>
        <v>13</v>
      </c>
      <c r="P301" s="1">
        <v>5</v>
      </c>
      <c r="Q301" s="1">
        <f>L301-N301</f>
        <v>12</v>
      </c>
      <c r="R301" s="1">
        <v>8</v>
      </c>
      <c r="S301">
        <f>SUM(P301,R301)</f>
        <v>13</v>
      </c>
    </row>
    <row r="302" spans="1:19" x14ac:dyDescent="0.45">
      <c r="A302">
        <v>5119</v>
      </c>
      <c r="B302" t="s">
        <v>188</v>
      </c>
      <c r="C302" t="s">
        <v>15</v>
      </c>
      <c r="D302" t="s">
        <v>93</v>
      </c>
      <c r="E302">
        <v>24</v>
      </c>
      <c r="F302" t="s">
        <v>33</v>
      </c>
      <c r="G302" t="s">
        <v>49</v>
      </c>
      <c r="H302">
        <v>3</v>
      </c>
      <c r="I302">
        <v>6.33</v>
      </c>
      <c r="J302">
        <v>7.33</v>
      </c>
      <c r="K302">
        <v>22</v>
      </c>
      <c r="L302" s="1">
        <v>13</v>
      </c>
      <c r="M302" t="s">
        <v>82</v>
      </c>
      <c r="N302" s="1" t="s">
        <v>102</v>
      </c>
      <c r="O302">
        <f>L302/N302</f>
        <v>13</v>
      </c>
      <c r="P302" s="1">
        <v>6</v>
      </c>
      <c r="Q302" s="1">
        <f>L302-N302</f>
        <v>12</v>
      </c>
      <c r="R302" s="1">
        <v>9</v>
      </c>
      <c r="S302">
        <f>SUM(P302,R302)</f>
        <v>15</v>
      </c>
    </row>
    <row r="303" spans="1:19" x14ac:dyDescent="0.45">
      <c r="A303">
        <v>6435</v>
      </c>
      <c r="B303" t="s">
        <v>97</v>
      </c>
      <c r="C303" t="s">
        <v>15</v>
      </c>
      <c r="D303" t="s">
        <v>93</v>
      </c>
      <c r="E303">
        <v>26</v>
      </c>
      <c r="F303" t="s">
        <v>17</v>
      </c>
      <c r="G303" t="s">
        <v>18</v>
      </c>
      <c r="H303">
        <v>3</v>
      </c>
      <c r="I303">
        <v>5.83</v>
      </c>
      <c r="J303">
        <v>6.67</v>
      </c>
      <c r="K303">
        <v>48</v>
      </c>
      <c r="L303" s="1">
        <v>18</v>
      </c>
      <c r="M303" t="s">
        <v>56</v>
      </c>
      <c r="N303" s="1" t="s">
        <v>30</v>
      </c>
      <c r="O303">
        <f>L303/N303</f>
        <v>9</v>
      </c>
      <c r="P303" s="1">
        <v>13</v>
      </c>
      <c r="Q303" s="1">
        <f>L303-N303</f>
        <v>16</v>
      </c>
      <c r="R303" s="1">
        <v>4</v>
      </c>
      <c r="S303">
        <f>SUM(P303,R303)</f>
        <v>17</v>
      </c>
    </row>
    <row r="304" spans="1:19" x14ac:dyDescent="0.45">
      <c r="A304">
        <v>4463</v>
      </c>
      <c r="B304" t="s">
        <v>212</v>
      </c>
      <c r="C304" t="s">
        <v>15</v>
      </c>
      <c r="D304" t="s">
        <v>85</v>
      </c>
      <c r="E304">
        <v>24</v>
      </c>
      <c r="F304" t="s">
        <v>17</v>
      </c>
      <c r="G304" t="s">
        <v>17</v>
      </c>
      <c r="H304">
        <v>0</v>
      </c>
      <c r="I304">
        <v>0</v>
      </c>
      <c r="J304">
        <v>0</v>
      </c>
      <c r="K304">
        <v>18</v>
      </c>
      <c r="L304" s="1">
        <v>12</v>
      </c>
      <c r="M304" t="s">
        <v>23</v>
      </c>
      <c r="N304" s="1" t="s">
        <v>102</v>
      </c>
      <c r="O304">
        <f>L304/N304</f>
        <v>12</v>
      </c>
      <c r="P304" s="1">
        <v>7</v>
      </c>
      <c r="Q304" s="1">
        <f>L304-N304</f>
        <v>11</v>
      </c>
      <c r="R304" s="1">
        <v>11</v>
      </c>
      <c r="S304">
        <f>SUM(P304,R304)</f>
        <v>18</v>
      </c>
    </row>
    <row r="305" spans="1:19" x14ac:dyDescent="0.45">
      <c r="A305">
        <v>4317</v>
      </c>
      <c r="B305" t="s">
        <v>194</v>
      </c>
      <c r="C305" t="s">
        <v>15</v>
      </c>
      <c r="D305" t="s">
        <v>16</v>
      </c>
      <c r="E305">
        <v>27</v>
      </c>
      <c r="F305" t="s">
        <v>37</v>
      </c>
      <c r="G305" t="s">
        <v>141</v>
      </c>
      <c r="H305">
        <v>2</v>
      </c>
      <c r="I305">
        <v>5.75</v>
      </c>
      <c r="J305">
        <v>5.75</v>
      </c>
      <c r="K305">
        <v>21</v>
      </c>
      <c r="L305" s="1">
        <v>12</v>
      </c>
      <c r="M305" t="s">
        <v>82</v>
      </c>
      <c r="N305" s="1" t="s">
        <v>102</v>
      </c>
      <c r="O305">
        <f>L305/N305</f>
        <v>12</v>
      </c>
      <c r="P305" s="1">
        <v>8</v>
      </c>
      <c r="Q305" s="1">
        <f>L305-N305</f>
        <v>11</v>
      </c>
      <c r="R305" s="1">
        <v>12</v>
      </c>
      <c r="S305">
        <f>SUM(P305,R305)</f>
        <v>20</v>
      </c>
    </row>
    <row r="306" spans="1:19" x14ac:dyDescent="0.45">
      <c r="A306">
        <v>7347</v>
      </c>
      <c r="B306" t="s">
        <v>230</v>
      </c>
      <c r="C306" t="s">
        <v>15</v>
      </c>
      <c r="D306" t="s">
        <v>85</v>
      </c>
      <c r="E306">
        <v>24</v>
      </c>
      <c r="F306" t="s">
        <v>17</v>
      </c>
      <c r="G306" t="s">
        <v>18</v>
      </c>
      <c r="H306">
        <v>3</v>
      </c>
      <c r="I306">
        <v>6</v>
      </c>
      <c r="J306">
        <v>6</v>
      </c>
      <c r="K306">
        <v>16</v>
      </c>
      <c r="L306" s="1">
        <v>10</v>
      </c>
      <c r="M306" t="s">
        <v>82</v>
      </c>
      <c r="N306" s="1" t="s">
        <v>102</v>
      </c>
      <c r="O306">
        <f>L306/N306</f>
        <v>10</v>
      </c>
      <c r="P306" s="1">
        <v>9</v>
      </c>
      <c r="Q306" s="1">
        <f>L306-N306</f>
        <v>9</v>
      </c>
      <c r="R306" s="1">
        <v>13</v>
      </c>
      <c r="S306">
        <f>SUM(P306,R306)</f>
        <v>22</v>
      </c>
    </row>
    <row r="307" spans="1:19" x14ac:dyDescent="0.45">
      <c r="A307">
        <v>6675</v>
      </c>
      <c r="B307" t="s">
        <v>159</v>
      </c>
      <c r="C307" t="s">
        <v>15</v>
      </c>
      <c r="D307" t="s">
        <v>62</v>
      </c>
      <c r="E307">
        <v>29</v>
      </c>
      <c r="F307" t="s">
        <v>17</v>
      </c>
      <c r="G307" t="s">
        <v>18</v>
      </c>
      <c r="H307">
        <v>3</v>
      </c>
      <c r="I307">
        <v>5.83</v>
      </c>
      <c r="J307">
        <v>6.67</v>
      </c>
      <c r="K307">
        <v>25</v>
      </c>
      <c r="L307" s="1">
        <v>16</v>
      </c>
      <c r="M307" t="s">
        <v>19</v>
      </c>
      <c r="N307" s="1" t="s">
        <v>30</v>
      </c>
      <c r="O307">
        <f>L307/N307</f>
        <v>8</v>
      </c>
      <c r="P307" s="1">
        <v>17</v>
      </c>
      <c r="Q307" s="1">
        <f>L307-N307</f>
        <v>14</v>
      </c>
      <c r="R307" s="1">
        <v>6</v>
      </c>
      <c r="S307">
        <f>SUM(P307,R307)</f>
        <v>23</v>
      </c>
    </row>
    <row r="308" spans="1:19" x14ac:dyDescent="0.45">
      <c r="A308">
        <v>6434</v>
      </c>
      <c r="B308" t="s">
        <v>113</v>
      </c>
      <c r="C308" t="s">
        <v>15</v>
      </c>
      <c r="D308" t="s">
        <v>66</v>
      </c>
      <c r="E308">
        <v>21</v>
      </c>
      <c r="F308" t="s">
        <v>17</v>
      </c>
      <c r="G308" t="s">
        <v>17</v>
      </c>
      <c r="H308">
        <v>1</v>
      </c>
      <c r="I308">
        <v>5.5</v>
      </c>
      <c r="J308">
        <v>5.5</v>
      </c>
      <c r="K308">
        <v>40</v>
      </c>
      <c r="L308" s="1">
        <v>21</v>
      </c>
      <c r="M308" t="s">
        <v>42</v>
      </c>
      <c r="N308" s="1" t="s">
        <v>114</v>
      </c>
      <c r="O308">
        <f>L308/N308</f>
        <v>7</v>
      </c>
      <c r="P308" s="1">
        <v>22</v>
      </c>
      <c r="Q308" s="1">
        <f>L308-N308</f>
        <v>18</v>
      </c>
      <c r="R308" s="1">
        <v>2</v>
      </c>
      <c r="S308">
        <f>SUM(P308,R308)</f>
        <v>24</v>
      </c>
    </row>
    <row r="309" spans="1:19" x14ac:dyDescent="0.45">
      <c r="A309">
        <v>5750</v>
      </c>
      <c r="B309" t="s">
        <v>227</v>
      </c>
      <c r="C309" t="s">
        <v>15</v>
      </c>
      <c r="D309" t="s">
        <v>151</v>
      </c>
      <c r="E309">
        <v>27</v>
      </c>
      <c r="F309" t="s">
        <v>37</v>
      </c>
      <c r="G309" t="s">
        <v>141</v>
      </c>
      <c r="H309">
        <v>3</v>
      </c>
      <c r="I309">
        <v>5.83</v>
      </c>
      <c r="J309">
        <v>5.33</v>
      </c>
      <c r="K309">
        <v>17</v>
      </c>
      <c r="L309" s="1">
        <v>10</v>
      </c>
      <c r="M309" t="s">
        <v>23</v>
      </c>
      <c r="N309" s="1" t="s">
        <v>102</v>
      </c>
      <c r="O309">
        <f>L309/N309</f>
        <v>10</v>
      </c>
      <c r="P309" s="1">
        <v>10</v>
      </c>
      <c r="Q309" s="1">
        <f>L309-N309</f>
        <v>9</v>
      </c>
      <c r="R309" s="1">
        <v>14</v>
      </c>
      <c r="S309">
        <f>SUM(P309,R309)</f>
        <v>24</v>
      </c>
    </row>
    <row r="310" spans="1:19" x14ac:dyDescent="0.45">
      <c r="A310">
        <v>7223</v>
      </c>
      <c r="B310" t="s">
        <v>224</v>
      </c>
      <c r="C310" t="s">
        <v>15</v>
      </c>
      <c r="D310" t="s">
        <v>26</v>
      </c>
      <c r="E310">
        <v>23</v>
      </c>
      <c r="F310" t="s">
        <v>33</v>
      </c>
      <c r="G310" t="s">
        <v>171</v>
      </c>
      <c r="H310">
        <v>2</v>
      </c>
      <c r="I310">
        <v>6.5</v>
      </c>
      <c r="J310">
        <v>8.25</v>
      </c>
      <c r="K310">
        <v>17</v>
      </c>
      <c r="L310" s="1">
        <v>9</v>
      </c>
      <c r="M310" t="s">
        <v>19</v>
      </c>
      <c r="N310" s="1" t="s">
        <v>102</v>
      </c>
      <c r="O310">
        <f>L310/N310</f>
        <v>9</v>
      </c>
      <c r="P310" s="1">
        <v>11</v>
      </c>
      <c r="Q310" s="1">
        <f>L310-N310</f>
        <v>8</v>
      </c>
      <c r="R310" s="1">
        <v>21</v>
      </c>
      <c r="S310">
        <f>SUM(P310,R310)</f>
        <v>32</v>
      </c>
    </row>
    <row r="311" spans="1:19" x14ac:dyDescent="0.45">
      <c r="A311">
        <v>7070</v>
      </c>
      <c r="B311" t="s">
        <v>306</v>
      </c>
      <c r="C311" t="s">
        <v>15</v>
      </c>
      <c r="D311" t="s">
        <v>22</v>
      </c>
      <c r="E311">
        <v>23</v>
      </c>
      <c r="F311" t="s">
        <v>33</v>
      </c>
      <c r="G311" t="s">
        <v>33</v>
      </c>
      <c r="H311">
        <v>3</v>
      </c>
      <c r="I311">
        <v>6.17</v>
      </c>
      <c r="J311">
        <v>6.17</v>
      </c>
      <c r="K311">
        <v>10</v>
      </c>
      <c r="L311" s="1">
        <v>9</v>
      </c>
      <c r="M311" t="s">
        <v>23</v>
      </c>
      <c r="N311" s="1" t="s">
        <v>102</v>
      </c>
      <c r="O311">
        <f>L311/N311</f>
        <v>9</v>
      </c>
      <c r="P311" s="1">
        <v>12</v>
      </c>
      <c r="Q311" s="1">
        <f>L311-N311</f>
        <v>8</v>
      </c>
      <c r="R311" s="1">
        <v>22</v>
      </c>
      <c r="S311">
        <f>SUM(P311,R311)</f>
        <v>34</v>
      </c>
    </row>
    <row r="312" spans="1:19" x14ac:dyDescent="0.45">
      <c r="A312">
        <v>779</v>
      </c>
      <c r="B312" t="s">
        <v>246</v>
      </c>
      <c r="C312" t="s">
        <v>15</v>
      </c>
      <c r="D312" t="s">
        <v>16</v>
      </c>
      <c r="E312">
        <v>31</v>
      </c>
      <c r="F312" t="s">
        <v>33</v>
      </c>
      <c r="G312" t="s">
        <v>41</v>
      </c>
      <c r="H312">
        <v>3</v>
      </c>
      <c r="I312">
        <v>6.33</v>
      </c>
      <c r="J312">
        <v>6.33</v>
      </c>
      <c r="K312">
        <v>15</v>
      </c>
      <c r="L312" s="1">
        <v>9</v>
      </c>
      <c r="M312" t="s">
        <v>82</v>
      </c>
      <c r="N312" s="1" t="s">
        <v>102</v>
      </c>
      <c r="O312">
        <f>L312/N312</f>
        <v>9</v>
      </c>
      <c r="P312" s="1">
        <v>14</v>
      </c>
      <c r="Q312" s="1">
        <f>L312-N312</f>
        <v>8</v>
      </c>
      <c r="R312" s="1">
        <v>23</v>
      </c>
      <c r="S312">
        <f>SUM(P312,R312)</f>
        <v>37</v>
      </c>
    </row>
    <row r="313" spans="1:19" x14ac:dyDescent="0.45">
      <c r="A313">
        <v>7551</v>
      </c>
      <c r="B313" t="s">
        <v>278</v>
      </c>
      <c r="C313" t="s">
        <v>15</v>
      </c>
      <c r="D313" t="s">
        <v>148</v>
      </c>
      <c r="E313">
        <v>26</v>
      </c>
      <c r="F313" t="s">
        <v>33</v>
      </c>
      <c r="G313" t="s">
        <v>171</v>
      </c>
      <c r="H313">
        <v>3</v>
      </c>
      <c r="I313">
        <v>5.83</v>
      </c>
      <c r="J313">
        <v>5.5</v>
      </c>
      <c r="K313">
        <v>12</v>
      </c>
      <c r="L313" s="1">
        <v>8</v>
      </c>
      <c r="M313" t="s">
        <v>46</v>
      </c>
      <c r="N313" s="1" t="s">
        <v>102</v>
      </c>
      <c r="O313">
        <f>L313/N313</f>
        <v>8</v>
      </c>
      <c r="P313" s="1">
        <v>15</v>
      </c>
      <c r="Q313" s="1">
        <f>L313-N313</f>
        <v>7</v>
      </c>
      <c r="R313" s="1">
        <v>27</v>
      </c>
      <c r="S313">
        <f>SUM(P313,R313)</f>
        <v>42</v>
      </c>
    </row>
    <row r="314" spans="1:19" x14ac:dyDescent="0.45">
      <c r="A314">
        <v>6989</v>
      </c>
      <c r="B314" t="s">
        <v>320</v>
      </c>
      <c r="C314" t="s">
        <v>15</v>
      </c>
      <c r="D314" t="s">
        <v>276</v>
      </c>
      <c r="E314">
        <v>22</v>
      </c>
      <c r="F314" t="s">
        <v>37</v>
      </c>
      <c r="G314" t="s">
        <v>141</v>
      </c>
      <c r="H314">
        <v>3</v>
      </c>
      <c r="I314">
        <v>5.67</v>
      </c>
      <c r="J314">
        <v>6.67</v>
      </c>
      <c r="K314">
        <v>10</v>
      </c>
      <c r="L314" s="1">
        <v>8</v>
      </c>
      <c r="M314" t="s">
        <v>23</v>
      </c>
      <c r="N314" s="1" t="s">
        <v>102</v>
      </c>
      <c r="O314">
        <f>L314/N314</f>
        <v>8</v>
      </c>
      <c r="P314" s="1">
        <v>16</v>
      </c>
      <c r="Q314" s="1">
        <f>L314-N314</f>
        <v>7</v>
      </c>
      <c r="R314" s="1">
        <v>28</v>
      </c>
      <c r="S314">
        <f>SUM(P314,R314)</f>
        <v>44</v>
      </c>
    </row>
    <row r="315" spans="1:19" x14ac:dyDescent="0.45">
      <c r="A315">
        <v>6042</v>
      </c>
      <c r="B315" t="s">
        <v>351</v>
      </c>
      <c r="C315" t="s">
        <v>15</v>
      </c>
      <c r="D315" t="s">
        <v>66</v>
      </c>
      <c r="E315">
        <v>28</v>
      </c>
      <c r="F315" t="s">
        <v>37</v>
      </c>
      <c r="G315" t="s">
        <v>141</v>
      </c>
      <c r="H315">
        <v>2</v>
      </c>
      <c r="I315">
        <v>6</v>
      </c>
      <c r="J315">
        <v>5.75</v>
      </c>
      <c r="K315">
        <v>9</v>
      </c>
      <c r="L315" s="1">
        <v>8</v>
      </c>
      <c r="M315" t="s">
        <v>53</v>
      </c>
      <c r="N315" s="1" t="s">
        <v>102</v>
      </c>
      <c r="O315">
        <f>L315/N315</f>
        <v>8</v>
      </c>
      <c r="P315" s="1">
        <v>18</v>
      </c>
      <c r="Q315" s="1">
        <f>L315-N315</f>
        <v>7</v>
      </c>
      <c r="R315" s="1">
        <v>29</v>
      </c>
      <c r="S315">
        <f>SUM(P315,R315)</f>
        <v>47</v>
      </c>
    </row>
    <row r="316" spans="1:19" x14ac:dyDescent="0.45">
      <c r="A316">
        <v>5675</v>
      </c>
      <c r="B316" t="s">
        <v>326</v>
      </c>
      <c r="C316" t="s">
        <v>15</v>
      </c>
      <c r="D316" t="s">
        <v>62</v>
      </c>
      <c r="E316">
        <v>26</v>
      </c>
      <c r="F316" t="s">
        <v>37</v>
      </c>
      <c r="G316" t="s">
        <v>248</v>
      </c>
      <c r="H316">
        <v>1</v>
      </c>
      <c r="I316">
        <v>5.5</v>
      </c>
      <c r="J316">
        <v>5.5</v>
      </c>
      <c r="K316">
        <v>10</v>
      </c>
      <c r="L316" s="1">
        <v>8</v>
      </c>
      <c r="M316" t="s">
        <v>46</v>
      </c>
      <c r="N316" s="1" t="s">
        <v>102</v>
      </c>
      <c r="O316">
        <f>L316/N316</f>
        <v>8</v>
      </c>
      <c r="P316" s="1">
        <v>19</v>
      </c>
      <c r="Q316" s="1">
        <f>L316-N316</f>
        <v>7</v>
      </c>
      <c r="R316" s="1">
        <v>30</v>
      </c>
      <c r="S316">
        <f>SUM(P316,R316)</f>
        <v>49</v>
      </c>
    </row>
    <row r="317" spans="1:19" x14ac:dyDescent="0.45">
      <c r="A317">
        <v>7484</v>
      </c>
      <c r="B317" t="s">
        <v>220</v>
      </c>
      <c r="C317" t="s">
        <v>15</v>
      </c>
      <c r="D317" t="s">
        <v>221</v>
      </c>
      <c r="E317">
        <v>26</v>
      </c>
      <c r="F317" t="s">
        <v>17</v>
      </c>
      <c r="G317" t="s">
        <v>18</v>
      </c>
      <c r="H317">
        <v>4</v>
      </c>
      <c r="I317">
        <v>5.75</v>
      </c>
      <c r="J317">
        <v>6.5</v>
      </c>
      <c r="K317">
        <v>17</v>
      </c>
      <c r="L317" s="1">
        <v>11</v>
      </c>
      <c r="M317" t="s">
        <v>82</v>
      </c>
      <c r="N317" s="1" t="s">
        <v>30</v>
      </c>
      <c r="O317">
        <f>L317/N317</f>
        <v>5.5</v>
      </c>
      <c r="P317" s="1">
        <v>36</v>
      </c>
      <c r="Q317" s="1">
        <f>L317-N317</f>
        <v>9</v>
      </c>
      <c r="R317" s="1">
        <v>15</v>
      </c>
      <c r="S317">
        <f>SUM(P317,R317)</f>
        <v>51</v>
      </c>
    </row>
    <row r="318" spans="1:19" x14ac:dyDescent="0.45">
      <c r="A318">
        <v>5010</v>
      </c>
      <c r="B318" t="s">
        <v>425</v>
      </c>
      <c r="C318" t="s">
        <v>15</v>
      </c>
      <c r="D318" t="s">
        <v>121</v>
      </c>
      <c r="E318">
        <v>30</v>
      </c>
      <c r="F318" t="s">
        <v>37</v>
      </c>
      <c r="G318" t="s">
        <v>141</v>
      </c>
      <c r="H318">
        <v>3</v>
      </c>
      <c r="I318">
        <v>6</v>
      </c>
      <c r="J318">
        <v>6</v>
      </c>
      <c r="K318">
        <v>7</v>
      </c>
      <c r="L318" s="1">
        <v>8</v>
      </c>
      <c r="M318" t="s">
        <v>19</v>
      </c>
      <c r="N318" s="1" t="s">
        <v>102</v>
      </c>
      <c r="O318">
        <f>L318/N318</f>
        <v>8</v>
      </c>
      <c r="P318" s="1">
        <v>20</v>
      </c>
      <c r="Q318" s="1">
        <f>L318-N318</f>
        <v>7</v>
      </c>
      <c r="R318" s="1">
        <v>31</v>
      </c>
      <c r="S318">
        <f>SUM(P318,R318)</f>
        <v>51</v>
      </c>
    </row>
    <row r="319" spans="1:19" x14ac:dyDescent="0.45">
      <c r="A319">
        <v>6372</v>
      </c>
      <c r="B319" t="s">
        <v>205</v>
      </c>
      <c r="C319" t="s">
        <v>15</v>
      </c>
      <c r="D319" t="s">
        <v>45</v>
      </c>
      <c r="E319">
        <v>22</v>
      </c>
      <c r="F319" t="s">
        <v>33</v>
      </c>
      <c r="G319" t="s">
        <v>38</v>
      </c>
      <c r="H319">
        <v>1</v>
      </c>
      <c r="I319">
        <v>5</v>
      </c>
      <c r="J319">
        <v>5</v>
      </c>
      <c r="K319">
        <v>19</v>
      </c>
      <c r="L319" s="1">
        <v>11</v>
      </c>
      <c r="M319" t="s">
        <v>56</v>
      </c>
      <c r="N319" s="1" t="s">
        <v>30</v>
      </c>
      <c r="O319">
        <f>L319/N319</f>
        <v>5.5</v>
      </c>
      <c r="P319" s="1">
        <v>37</v>
      </c>
      <c r="Q319" s="1">
        <f>L319-N319</f>
        <v>9</v>
      </c>
      <c r="R319" s="1">
        <v>16</v>
      </c>
      <c r="S319">
        <f>SUM(P319,R319)</f>
        <v>53</v>
      </c>
    </row>
    <row r="320" spans="1:19" x14ac:dyDescent="0.45">
      <c r="A320">
        <v>6151</v>
      </c>
      <c r="B320" t="s">
        <v>225</v>
      </c>
      <c r="C320" t="s">
        <v>15</v>
      </c>
      <c r="D320" t="s">
        <v>32</v>
      </c>
      <c r="E320">
        <v>23</v>
      </c>
      <c r="F320" t="s">
        <v>33</v>
      </c>
      <c r="G320" t="s">
        <v>41</v>
      </c>
      <c r="H320">
        <v>3</v>
      </c>
      <c r="I320">
        <v>6.17</v>
      </c>
      <c r="J320">
        <v>6.17</v>
      </c>
      <c r="K320">
        <v>17</v>
      </c>
      <c r="L320" s="1">
        <v>11</v>
      </c>
      <c r="M320" t="s">
        <v>27</v>
      </c>
      <c r="N320" s="1" t="s">
        <v>30</v>
      </c>
      <c r="O320">
        <f>L320/N320</f>
        <v>5.5</v>
      </c>
      <c r="P320" s="1">
        <v>38</v>
      </c>
      <c r="Q320" s="1">
        <f>L320-N320</f>
        <v>9</v>
      </c>
      <c r="R320" s="1">
        <v>17</v>
      </c>
      <c r="S320">
        <f>SUM(P320,R320)</f>
        <v>55</v>
      </c>
    </row>
    <row r="321" spans="1:19" x14ac:dyDescent="0.45">
      <c r="A321">
        <v>7332</v>
      </c>
      <c r="B321" t="s">
        <v>493</v>
      </c>
      <c r="C321" t="s">
        <v>15</v>
      </c>
      <c r="D321" t="s">
        <v>151</v>
      </c>
      <c r="E321">
        <v>28</v>
      </c>
      <c r="F321" t="s">
        <v>108</v>
      </c>
      <c r="G321" t="s">
        <v>109</v>
      </c>
      <c r="H321">
        <v>3</v>
      </c>
      <c r="I321">
        <v>5.5</v>
      </c>
      <c r="J321">
        <v>3.17</v>
      </c>
      <c r="K321">
        <v>6</v>
      </c>
      <c r="L321" s="1">
        <v>7</v>
      </c>
      <c r="M321" t="s">
        <v>82</v>
      </c>
      <c r="N321" s="1" t="s">
        <v>102</v>
      </c>
      <c r="O321">
        <f>L321/N321</f>
        <v>7</v>
      </c>
      <c r="P321" s="1">
        <v>21</v>
      </c>
      <c r="Q321" s="1">
        <f>L321-N321</f>
        <v>6</v>
      </c>
      <c r="R321" s="1">
        <v>34</v>
      </c>
      <c r="S321">
        <f>SUM(P321,R321)</f>
        <v>55</v>
      </c>
    </row>
    <row r="322" spans="1:19" x14ac:dyDescent="0.45">
      <c r="A322">
        <v>4892</v>
      </c>
      <c r="B322" t="s">
        <v>234</v>
      </c>
      <c r="C322" t="s">
        <v>15</v>
      </c>
      <c r="D322" t="s">
        <v>45</v>
      </c>
      <c r="E322">
        <v>27</v>
      </c>
      <c r="F322" t="s">
        <v>33</v>
      </c>
      <c r="G322" t="s">
        <v>38</v>
      </c>
      <c r="H322">
        <v>3</v>
      </c>
      <c r="I322">
        <v>6.17</v>
      </c>
      <c r="J322">
        <v>6.5</v>
      </c>
      <c r="K322">
        <v>16</v>
      </c>
      <c r="L322" s="1">
        <v>11</v>
      </c>
      <c r="M322" t="s">
        <v>46</v>
      </c>
      <c r="N322" s="1" t="s">
        <v>30</v>
      </c>
      <c r="O322">
        <f>L322/N322</f>
        <v>5.5</v>
      </c>
      <c r="P322" s="1">
        <v>39</v>
      </c>
      <c r="Q322" s="1">
        <f>L322-N322</f>
        <v>9</v>
      </c>
      <c r="R322" s="1">
        <v>18</v>
      </c>
      <c r="S322">
        <f>SUM(P322,R322)</f>
        <v>57</v>
      </c>
    </row>
    <row r="323" spans="1:19" x14ac:dyDescent="0.45">
      <c r="A323">
        <v>5877</v>
      </c>
      <c r="B323" t="s">
        <v>324</v>
      </c>
      <c r="C323" t="s">
        <v>15</v>
      </c>
      <c r="D323" t="s">
        <v>22</v>
      </c>
      <c r="E323">
        <v>27</v>
      </c>
      <c r="F323" t="s">
        <v>37</v>
      </c>
      <c r="G323" t="s">
        <v>325</v>
      </c>
      <c r="H323">
        <v>1</v>
      </c>
      <c r="I323">
        <v>6.5</v>
      </c>
      <c r="J323">
        <v>7.5</v>
      </c>
      <c r="K323">
        <v>10</v>
      </c>
      <c r="L323" s="1">
        <v>7</v>
      </c>
      <c r="M323" t="s">
        <v>19</v>
      </c>
      <c r="N323" s="1" t="s">
        <v>102</v>
      </c>
      <c r="O323">
        <f>L323/N323</f>
        <v>7</v>
      </c>
      <c r="P323" s="1">
        <v>23</v>
      </c>
      <c r="Q323" s="1">
        <f>L323-N323</f>
        <v>6</v>
      </c>
      <c r="R323" s="1">
        <v>35</v>
      </c>
      <c r="S323">
        <f>SUM(P323,R323)</f>
        <v>58</v>
      </c>
    </row>
    <row r="324" spans="1:19" x14ac:dyDescent="0.45">
      <c r="A324">
        <v>5851</v>
      </c>
      <c r="B324" t="s">
        <v>524</v>
      </c>
      <c r="C324" t="s">
        <v>15</v>
      </c>
      <c r="D324" t="s">
        <v>85</v>
      </c>
      <c r="E324">
        <v>24</v>
      </c>
      <c r="F324" t="s">
        <v>37</v>
      </c>
      <c r="G324" t="s">
        <v>255</v>
      </c>
      <c r="H324">
        <v>3</v>
      </c>
      <c r="I324">
        <v>6.17</v>
      </c>
      <c r="J324">
        <v>7.17</v>
      </c>
      <c r="K324">
        <v>5</v>
      </c>
      <c r="L324" s="1">
        <v>7</v>
      </c>
      <c r="M324" t="s">
        <v>19</v>
      </c>
      <c r="N324" s="1" t="s">
        <v>102</v>
      </c>
      <c r="O324">
        <f>L324/N324</f>
        <v>7</v>
      </c>
      <c r="P324" s="1">
        <v>24</v>
      </c>
      <c r="Q324" s="1">
        <f>L324-N324</f>
        <v>6</v>
      </c>
      <c r="R324" s="1">
        <v>36</v>
      </c>
      <c r="S324">
        <f>SUM(P324,R324)</f>
        <v>60</v>
      </c>
    </row>
    <row r="325" spans="1:19" x14ac:dyDescent="0.45">
      <c r="A325">
        <v>5791</v>
      </c>
      <c r="B325" t="s">
        <v>311</v>
      </c>
      <c r="C325" t="s">
        <v>15</v>
      </c>
      <c r="D325" t="s">
        <v>151</v>
      </c>
      <c r="E325">
        <v>25</v>
      </c>
      <c r="F325" t="s">
        <v>33</v>
      </c>
      <c r="G325" t="s">
        <v>41</v>
      </c>
      <c r="H325">
        <v>3</v>
      </c>
      <c r="I325">
        <v>5.67</v>
      </c>
      <c r="J325">
        <v>5.67</v>
      </c>
      <c r="K325">
        <v>10</v>
      </c>
      <c r="L325" s="1">
        <v>7</v>
      </c>
      <c r="M325" t="s">
        <v>46</v>
      </c>
      <c r="N325" s="1" t="s">
        <v>102</v>
      </c>
      <c r="O325">
        <f>L325/N325</f>
        <v>7</v>
      </c>
      <c r="P325" s="1">
        <v>25</v>
      </c>
      <c r="Q325" s="1">
        <f>L325-N325</f>
        <v>6</v>
      </c>
      <c r="R325" s="1">
        <v>37</v>
      </c>
      <c r="S325">
        <f>SUM(P325,R325)</f>
        <v>62</v>
      </c>
    </row>
    <row r="326" spans="1:19" x14ac:dyDescent="0.45">
      <c r="A326">
        <v>1870</v>
      </c>
      <c r="B326" t="s">
        <v>111</v>
      </c>
      <c r="C326" t="s">
        <v>15</v>
      </c>
      <c r="D326" t="s">
        <v>22</v>
      </c>
      <c r="E326">
        <v>29</v>
      </c>
      <c r="F326" t="s">
        <v>33</v>
      </c>
      <c r="G326" t="s">
        <v>33</v>
      </c>
      <c r="H326">
        <v>3</v>
      </c>
      <c r="I326">
        <v>6.17</v>
      </c>
      <c r="J326">
        <v>6.5</v>
      </c>
      <c r="K326">
        <v>41</v>
      </c>
      <c r="L326" s="1">
        <v>17</v>
      </c>
      <c r="M326" t="s">
        <v>27</v>
      </c>
      <c r="N326" s="1" t="s">
        <v>112</v>
      </c>
      <c r="O326">
        <f>L326/N326</f>
        <v>3.4</v>
      </c>
      <c r="P326" s="1">
        <v>54</v>
      </c>
      <c r="Q326" s="1">
        <f>L326-N326</f>
        <v>12</v>
      </c>
      <c r="R326" s="1">
        <v>10</v>
      </c>
      <c r="S326">
        <f>SUM(P326,R326)</f>
        <v>64</v>
      </c>
    </row>
    <row r="327" spans="1:19" x14ac:dyDescent="0.45">
      <c r="A327">
        <v>5685</v>
      </c>
      <c r="B327" t="s">
        <v>312</v>
      </c>
      <c r="C327" t="s">
        <v>15</v>
      </c>
      <c r="D327" t="s">
        <v>66</v>
      </c>
      <c r="E327">
        <v>28</v>
      </c>
      <c r="F327" t="s">
        <v>33</v>
      </c>
      <c r="G327" t="s">
        <v>49</v>
      </c>
      <c r="H327">
        <v>2</v>
      </c>
      <c r="I327">
        <v>6.75</v>
      </c>
      <c r="J327">
        <v>8.75</v>
      </c>
      <c r="K327">
        <v>10</v>
      </c>
      <c r="L327" s="1">
        <v>7</v>
      </c>
      <c r="M327" t="s">
        <v>72</v>
      </c>
      <c r="N327" s="1" t="s">
        <v>102</v>
      </c>
      <c r="O327">
        <f>L327/N327</f>
        <v>7</v>
      </c>
      <c r="P327" s="1">
        <v>26</v>
      </c>
      <c r="Q327" s="1">
        <f>L327-N327</f>
        <v>6</v>
      </c>
      <c r="R327" s="1">
        <v>38</v>
      </c>
      <c r="S327">
        <f>SUM(P327,R327)</f>
        <v>64</v>
      </c>
    </row>
    <row r="328" spans="1:19" x14ac:dyDescent="0.45">
      <c r="A328">
        <v>5620</v>
      </c>
      <c r="B328" t="s">
        <v>254</v>
      </c>
      <c r="C328" t="s">
        <v>15</v>
      </c>
      <c r="D328" t="s">
        <v>77</v>
      </c>
      <c r="E328">
        <v>26</v>
      </c>
      <c r="F328" t="s">
        <v>37</v>
      </c>
      <c r="G328" t="s">
        <v>255</v>
      </c>
      <c r="H328">
        <v>2</v>
      </c>
      <c r="I328">
        <v>6.5</v>
      </c>
      <c r="J328">
        <v>7</v>
      </c>
      <c r="K328">
        <v>14</v>
      </c>
      <c r="L328" s="1">
        <v>7</v>
      </c>
      <c r="M328" t="s">
        <v>53</v>
      </c>
      <c r="N328" s="1" t="s">
        <v>102</v>
      </c>
      <c r="O328">
        <f>L328/N328</f>
        <v>7</v>
      </c>
      <c r="P328" s="1">
        <v>27</v>
      </c>
      <c r="Q328" s="1">
        <f>L328-N328</f>
        <v>6</v>
      </c>
      <c r="R328" s="1">
        <v>39</v>
      </c>
      <c r="S328">
        <f>SUM(P328,R328)</f>
        <v>66</v>
      </c>
    </row>
    <row r="329" spans="1:19" x14ac:dyDescent="0.45">
      <c r="A329">
        <v>7621</v>
      </c>
      <c r="B329" t="s">
        <v>370</v>
      </c>
      <c r="C329" t="s">
        <v>15</v>
      </c>
      <c r="D329" t="s">
        <v>242</v>
      </c>
      <c r="E329">
        <v>26</v>
      </c>
      <c r="F329" t="s">
        <v>37</v>
      </c>
      <c r="G329" t="s">
        <v>208</v>
      </c>
      <c r="H329">
        <v>0</v>
      </c>
      <c r="I329">
        <v>0</v>
      </c>
      <c r="J329">
        <v>0</v>
      </c>
      <c r="K329">
        <v>8</v>
      </c>
      <c r="L329" s="1">
        <v>6</v>
      </c>
      <c r="M329" t="s">
        <v>23</v>
      </c>
      <c r="N329" s="1" t="s">
        <v>102</v>
      </c>
      <c r="O329">
        <f>L329/N329</f>
        <v>6</v>
      </c>
      <c r="P329" s="1">
        <v>28</v>
      </c>
      <c r="Q329" s="1">
        <f>L329-N329</f>
        <v>5</v>
      </c>
      <c r="R329" s="1">
        <v>45</v>
      </c>
      <c r="S329">
        <f>SUM(P329,R329)</f>
        <v>73</v>
      </c>
    </row>
    <row r="330" spans="1:19" x14ac:dyDescent="0.45">
      <c r="A330">
        <v>6229</v>
      </c>
      <c r="B330" t="s">
        <v>222</v>
      </c>
      <c r="C330" t="s">
        <v>15</v>
      </c>
      <c r="D330" t="s">
        <v>223</v>
      </c>
      <c r="E330">
        <v>25</v>
      </c>
      <c r="F330" t="s">
        <v>17</v>
      </c>
      <c r="G330" t="s">
        <v>18</v>
      </c>
      <c r="H330">
        <v>3</v>
      </c>
      <c r="I330">
        <v>5.67</v>
      </c>
      <c r="J330">
        <v>5.67</v>
      </c>
      <c r="K330">
        <v>17</v>
      </c>
      <c r="L330" s="1">
        <v>11</v>
      </c>
      <c r="M330" t="s">
        <v>46</v>
      </c>
      <c r="N330" s="1" t="s">
        <v>114</v>
      </c>
      <c r="O330">
        <f>L330/N330</f>
        <v>3.6666666666666665</v>
      </c>
      <c r="P330" s="1">
        <v>51</v>
      </c>
      <c r="Q330" s="1">
        <f>L330-N330</f>
        <v>8</v>
      </c>
      <c r="R330" s="1">
        <v>24</v>
      </c>
      <c r="S330">
        <f>SUM(P330,R330)</f>
        <v>75</v>
      </c>
    </row>
    <row r="331" spans="1:19" x14ac:dyDescent="0.45">
      <c r="A331">
        <v>7620</v>
      </c>
      <c r="B331" t="s">
        <v>335</v>
      </c>
      <c r="C331" t="s">
        <v>15</v>
      </c>
      <c r="D331" t="s">
        <v>211</v>
      </c>
      <c r="E331">
        <v>24</v>
      </c>
      <c r="F331" t="s">
        <v>17</v>
      </c>
      <c r="G331" t="s">
        <v>17</v>
      </c>
      <c r="H331">
        <v>0</v>
      </c>
      <c r="I331">
        <v>0</v>
      </c>
      <c r="J331">
        <v>0</v>
      </c>
      <c r="K331">
        <v>9</v>
      </c>
      <c r="L331" s="1">
        <v>6</v>
      </c>
      <c r="M331" t="s">
        <v>69</v>
      </c>
      <c r="N331" s="1" t="s">
        <v>102</v>
      </c>
      <c r="O331">
        <f>L331/N331</f>
        <v>6</v>
      </c>
      <c r="P331" s="1">
        <v>29</v>
      </c>
      <c r="Q331" s="1">
        <f>L331-N331</f>
        <v>5</v>
      </c>
      <c r="R331" s="1">
        <v>46</v>
      </c>
      <c r="S331">
        <f>SUM(P331,R331)</f>
        <v>75</v>
      </c>
    </row>
    <row r="332" spans="1:19" x14ac:dyDescent="0.45">
      <c r="A332">
        <v>7564</v>
      </c>
      <c r="B332" t="s">
        <v>464</v>
      </c>
      <c r="C332" t="s">
        <v>15</v>
      </c>
      <c r="D332" t="s">
        <v>85</v>
      </c>
      <c r="E332">
        <v>23</v>
      </c>
      <c r="F332" t="s">
        <v>37</v>
      </c>
      <c r="G332" t="s">
        <v>248</v>
      </c>
      <c r="H332">
        <v>3</v>
      </c>
      <c r="I332">
        <v>6.17</v>
      </c>
      <c r="J332">
        <v>6.5</v>
      </c>
      <c r="K332">
        <v>6</v>
      </c>
      <c r="L332" s="1">
        <v>6</v>
      </c>
      <c r="M332" t="s">
        <v>23</v>
      </c>
      <c r="N332" s="1" t="s">
        <v>102</v>
      </c>
      <c r="O332">
        <f>L332/N332</f>
        <v>6</v>
      </c>
      <c r="P332" s="1">
        <v>30</v>
      </c>
      <c r="Q332" s="1">
        <f>L332-N332</f>
        <v>5</v>
      </c>
      <c r="R332" s="1">
        <v>47</v>
      </c>
      <c r="S332">
        <f>SUM(P332,R332)</f>
        <v>77</v>
      </c>
    </row>
    <row r="333" spans="1:19" x14ac:dyDescent="0.45">
      <c r="A333">
        <v>7414</v>
      </c>
      <c r="B333" t="s">
        <v>406</v>
      </c>
      <c r="C333" t="s">
        <v>15</v>
      </c>
      <c r="D333" t="s">
        <v>32</v>
      </c>
      <c r="E333">
        <v>23</v>
      </c>
      <c r="F333" t="s">
        <v>37</v>
      </c>
      <c r="G333" t="s">
        <v>255</v>
      </c>
      <c r="H333">
        <v>0</v>
      </c>
      <c r="I333">
        <v>0</v>
      </c>
      <c r="J333">
        <v>0</v>
      </c>
      <c r="K333">
        <v>7</v>
      </c>
      <c r="L333" s="1">
        <v>6</v>
      </c>
      <c r="M333" t="s">
        <v>23</v>
      </c>
      <c r="N333" s="1" t="s">
        <v>102</v>
      </c>
      <c r="O333">
        <f>L333/N333</f>
        <v>6</v>
      </c>
      <c r="P333" s="1">
        <v>31</v>
      </c>
      <c r="Q333" s="1">
        <f>L333-N333</f>
        <v>5</v>
      </c>
      <c r="R333" s="1">
        <v>48</v>
      </c>
      <c r="S333">
        <f>SUM(P333,R333)</f>
        <v>79</v>
      </c>
    </row>
    <row r="334" spans="1:19" x14ac:dyDescent="0.45">
      <c r="A334">
        <v>7198</v>
      </c>
      <c r="B334" t="s">
        <v>390</v>
      </c>
      <c r="C334" t="s">
        <v>15</v>
      </c>
      <c r="D334" t="s">
        <v>80</v>
      </c>
      <c r="E334">
        <v>29</v>
      </c>
      <c r="F334" t="s">
        <v>33</v>
      </c>
      <c r="G334" t="s">
        <v>41</v>
      </c>
      <c r="H334">
        <v>2</v>
      </c>
      <c r="I334">
        <v>6.25</v>
      </c>
      <c r="J334">
        <v>7.5</v>
      </c>
      <c r="K334">
        <v>7</v>
      </c>
      <c r="L334" s="1">
        <v>6</v>
      </c>
      <c r="M334" t="s">
        <v>19</v>
      </c>
      <c r="N334" s="1" t="s">
        <v>102</v>
      </c>
      <c r="O334">
        <f>L334/N334</f>
        <v>6</v>
      </c>
      <c r="P334" s="1">
        <v>32</v>
      </c>
      <c r="Q334" s="1">
        <f>L334-N334</f>
        <v>5</v>
      </c>
      <c r="R334" s="1">
        <v>49</v>
      </c>
      <c r="S334">
        <f>SUM(P334,R334)</f>
        <v>81</v>
      </c>
    </row>
    <row r="335" spans="1:19" x14ac:dyDescent="0.45">
      <c r="A335">
        <v>7069</v>
      </c>
      <c r="B335" t="s">
        <v>470</v>
      </c>
      <c r="C335" t="s">
        <v>15</v>
      </c>
      <c r="D335" t="s">
        <v>121</v>
      </c>
      <c r="E335">
        <v>20</v>
      </c>
      <c r="F335" t="s">
        <v>37</v>
      </c>
      <c r="G335" t="s">
        <v>99</v>
      </c>
      <c r="H335">
        <v>3</v>
      </c>
      <c r="I335">
        <v>6.17</v>
      </c>
      <c r="J335">
        <v>6.17</v>
      </c>
      <c r="K335">
        <v>6</v>
      </c>
      <c r="L335" s="1">
        <v>6</v>
      </c>
      <c r="M335" t="s">
        <v>19</v>
      </c>
      <c r="N335" s="1" t="s">
        <v>102</v>
      </c>
      <c r="O335">
        <f>L335/N335</f>
        <v>6</v>
      </c>
      <c r="P335" s="1">
        <v>33</v>
      </c>
      <c r="Q335" s="1">
        <f>L335-N335</f>
        <v>5</v>
      </c>
      <c r="R335" s="1">
        <v>50</v>
      </c>
      <c r="S335">
        <f>SUM(P335,R335)</f>
        <v>83</v>
      </c>
    </row>
    <row r="336" spans="1:19" x14ac:dyDescent="0.45">
      <c r="A336">
        <v>7618</v>
      </c>
      <c r="B336" t="s">
        <v>289</v>
      </c>
      <c r="C336" t="s">
        <v>15</v>
      </c>
      <c r="D336" t="s">
        <v>45</v>
      </c>
      <c r="E336">
        <v>23</v>
      </c>
      <c r="F336" t="s">
        <v>33</v>
      </c>
      <c r="G336" t="s">
        <v>63</v>
      </c>
      <c r="H336">
        <v>0</v>
      </c>
      <c r="I336">
        <v>0</v>
      </c>
      <c r="J336">
        <v>0</v>
      </c>
      <c r="K336">
        <v>11</v>
      </c>
      <c r="L336" s="1">
        <v>8</v>
      </c>
      <c r="M336" t="s">
        <v>56</v>
      </c>
      <c r="N336" s="1" t="s">
        <v>30</v>
      </c>
      <c r="O336">
        <f>L336/N336</f>
        <v>4</v>
      </c>
      <c r="P336" s="1">
        <v>44</v>
      </c>
      <c r="Q336" s="1">
        <f>L336-N336</f>
        <v>6</v>
      </c>
      <c r="R336" s="1">
        <v>40</v>
      </c>
      <c r="S336">
        <f>SUM(P336,R336)</f>
        <v>84</v>
      </c>
    </row>
    <row r="337" spans="1:19" x14ac:dyDescent="0.45">
      <c r="A337">
        <v>6783</v>
      </c>
      <c r="B337" t="s">
        <v>394</v>
      </c>
      <c r="C337" t="s">
        <v>15</v>
      </c>
      <c r="D337" t="s">
        <v>80</v>
      </c>
      <c r="E337">
        <v>23</v>
      </c>
      <c r="F337" t="s">
        <v>33</v>
      </c>
      <c r="G337" t="s">
        <v>59</v>
      </c>
      <c r="H337">
        <v>2</v>
      </c>
      <c r="I337">
        <v>5.5</v>
      </c>
      <c r="J337">
        <v>5.5</v>
      </c>
      <c r="K337">
        <v>7</v>
      </c>
      <c r="L337" s="1">
        <v>6</v>
      </c>
      <c r="M337" t="s">
        <v>19</v>
      </c>
      <c r="N337" s="1" t="s">
        <v>102</v>
      </c>
      <c r="O337">
        <f>L337/N337</f>
        <v>6</v>
      </c>
      <c r="P337" s="1">
        <v>34</v>
      </c>
      <c r="Q337" s="1">
        <f>L337-N337</f>
        <v>5</v>
      </c>
      <c r="R337" s="1">
        <v>51</v>
      </c>
      <c r="S337">
        <f>SUM(P337,R337)</f>
        <v>85</v>
      </c>
    </row>
    <row r="338" spans="1:19" x14ac:dyDescent="0.45">
      <c r="A338">
        <v>7472</v>
      </c>
      <c r="B338" t="s">
        <v>250</v>
      </c>
      <c r="C338" t="s">
        <v>15</v>
      </c>
      <c r="D338" t="s">
        <v>148</v>
      </c>
      <c r="E338">
        <v>29</v>
      </c>
      <c r="F338" t="s">
        <v>33</v>
      </c>
      <c r="G338" t="s">
        <v>41</v>
      </c>
      <c r="H338">
        <v>3</v>
      </c>
      <c r="I338">
        <v>6.33</v>
      </c>
      <c r="J338">
        <v>6.67</v>
      </c>
      <c r="K338">
        <v>14</v>
      </c>
      <c r="L338" s="1">
        <v>8</v>
      </c>
      <c r="M338" t="s">
        <v>53</v>
      </c>
      <c r="N338" s="1" t="s">
        <v>30</v>
      </c>
      <c r="O338">
        <f>L338/N338</f>
        <v>4</v>
      </c>
      <c r="P338" s="1">
        <v>45</v>
      </c>
      <c r="Q338" s="1">
        <f>L338-N338</f>
        <v>6</v>
      </c>
      <c r="R338" s="1">
        <v>41</v>
      </c>
      <c r="S338">
        <f>SUM(P338,R338)</f>
        <v>86</v>
      </c>
    </row>
    <row r="339" spans="1:19" x14ac:dyDescent="0.45">
      <c r="A339">
        <v>6248</v>
      </c>
      <c r="B339" t="s">
        <v>495</v>
      </c>
      <c r="C339" t="s">
        <v>15</v>
      </c>
      <c r="D339" t="s">
        <v>221</v>
      </c>
      <c r="E339">
        <v>24</v>
      </c>
      <c r="F339" t="s">
        <v>108</v>
      </c>
      <c r="G339" t="s">
        <v>109</v>
      </c>
      <c r="H339">
        <v>4</v>
      </c>
      <c r="I339">
        <v>6</v>
      </c>
      <c r="J339">
        <v>3.25</v>
      </c>
      <c r="K339">
        <v>6</v>
      </c>
      <c r="L339" s="1">
        <v>6</v>
      </c>
      <c r="M339" t="s">
        <v>23</v>
      </c>
      <c r="N339" s="1" t="s">
        <v>102</v>
      </c>
      <c r="O339">
        <f>L339/N339</f>
        <v>6</v>
      </c>
      <c r="P339" s="1">
        <v>35</v>
      </c>
      <c r="Q339" s="1">
        <f>L339-N339</f>
        <v>5</v>
      </c>
      <c r="R339" s="1">
        <v>52</v>
      </c>
      <c r="S339">
        <f>SUM(P339,R339)</f>
        <v>87</v>
      </c>
    </row>
    <row r="340" spans="1:19" x14ac:dyDescent="0.45">
      <c r="A340">
        <v>6060</v>
      </c>
      <c r="B340" t="s">
        <v>115</v>
      </c>
      <c r="C340" t="s">
        <v>15</v>
      </c>
      <c r="D340" t="s">
        <v>85</v>
      </c>
      <c r="E340">
        <v>28</v>
      </c>
      <c r="F340" t="s">
        <v>17</v>
      </c>
      <c r="G340" t="s">
        <v>17</v>
      </c>
      <c r="H340">
        <v>3</v>
      </c>
      <c r="I340">
        <v>6.33</v>
      </c>
      <c r="J340">
        <v>6.17</v>
      </c>
      <c r="K340">
        <v>40</v>
      </c>
      <c r="L340" s="1">
        <v>15</v>
      </c>
      <c r="M340" t="s">
        <v>56</v>
      </c>
      <c r="N340" s="1" t="s">
        <v>116</v>
      </c>
      <c r="O340">
        <f>L340/N340</f>
        <v>2.5</v>
      </c>
      <c r="P340" s="1">
        <v>72</v>
      </c>
      <c r="Q340" s="1">
        <f>L340-N340</f>
        <v>9</v>
      </c>
      <c r="R340" s="1">
        <v>19</v>
      </c>
      <c r="S340">
        <f>SUM(P340,R340)</f>
        <v>91</v>
      </c>
    </row>
    <row r="341" spans="1:19" x14ac:dyDescent="0.45">
      <c r="A341">
        <v>6956</v>
      </c>
      <c r="B341" t="s">
        <v>204</v>
      </c>
      <c r="C341" t="s">
        <v>15</v>
      </c>
      <c r="D341" t="s">
        <v>80</v>
      </c>
      <c r="E341">
        <v>26</v>
      </c>
      <c r="F341" t="s">
        <v>37</v>
      </c>
      <c r="G341" t="s">
        <v>141</v>
      </c>
      <c r="H341">
        <v>3</v>
      </c>
      <c r="I341">
        <v>6</v>
      </c>
      <c r="J341">
        <v>6</v>
      </c>
      <c r="K341">
        <v>20</v>
      </c>
      <c r="L341" s="1">
        <v>13</v>
      </c>
      <c r="M341" t="s">
        <v>46</v>
      </c>
      <c r="N341" s="1" t="s">
        <v>112</v>
      </c>
      <c r="O341">
        <f>L341/N341</f>
        <v>2.6</v>
      </c>
      <c r="P341" s="1">
        <v>66</v>
      </c>
      <c r="Q341" s="1">
        <f>L341-N341</f>
        <v>8</v>
      </c>
      <c r="R341" s="1">
        <v>25</v>
      </c>
      <c r="S341">
        <f>SUM(P341,R341)</f>
        <v>91</v>
      </c>
    </row>
    <row r="342" spans="1:19" x14ac:dyDescent="0.45">
      <c r="A342">
        <v>6833</v>
      </c>
      <c r="B342" t="s">
        <v>291</v>
      </c>
      <c r="C342" t="s">
        <v>15</v>
      </c>
      <c r="D342" t="s">
        <v>62</v>
      </c>
      <c r="E342">
        <v>22</v>
      </c>
      <c r="F342" t="s">
        <v>33</v>
      </c>
      <c r="G342" t="s">
        <v>63</v>
      </c>
      <c r="H342">
        <v>0</v>
      </c>
      <c r="I342">
        <v>0</v>
      </c>
      <c r="J342">
        <v>0</v>
      </c>
      <c r="K342">
        <v>11</v>
      </c>
      <c r="L342" s="1">
        <v>8</v>
      </c>
      <c r="M342" t="s">
        <v>53</v>
      </c>
      <c r="N342" s="1" t="s">
        <v>30</v>
      </c>
      <c r="O342">
        <f>L342/N342</f>
        <v>4</v>
      </c>
      <c r="P342" s="1">
        <v>49</v>
      </c>
      <c r="Q342" s="1">
        <f>L342-N342</f>
        <v>6</v>
      </c>
      <c r="R342" s="1">
        <v>42</v>
      </c>
      <c r="S342">
        <f>SUM(P342,R342)</f>
        <v>91</v>
      </c>
    </row>
    <row r="343" spans="1:19" x14ac:dyDescent="0.45">
      <c r="A343">
        <v>6530</v>
      </c>
      <c r="B343" t="s">
        <v>257</v>
      </c>
      <c r="C343" t="s">
        <v>15</v>
      </c>
      <c r="D343" t="s">
        <v>148</v>
      </c>
      <c r="E343">
        <v>24</v>
      </c>
      <c r="F343" t="s">
        <v>17</v>
      </c>
      <c r="G343" t="s">
        <v>63</v>
      </c>
      <c r="H343">
        <v>1</v>
      </c>
      <c r="I343">
        <v>6</v>
      </c>
      <c r="J343">
        <v>6</v>
      </c>
      <c r="K343">
        <v>13</v>
      </c>
      <c r="L343" s="1">
        <v>9</v>
      </c>
      <c r="M343" t="s">
        <v>50</v>
      </c>
      <c r="N343" s="1" t="s">
        <v>114</v>
      </c>
      <c r="O343">
        <f>L343/N343</f>
        <v>3</v>
      </c>
      <c r="P343" s="1">
        <v>58</v>
      </c>
      <c r="Q343" s="1">
        <f>L343-N343</f>
        <v>6</v>
      </c>
      <c r="R343" s="1">
        <v>43</v>
      </c>
      <c r="S343">
        <f>SUM(P343,R343)</f>
        <v>101</v>
      </c>
    </row>
    <row r="344" spans="1:19" x14ac:dyDescent="0.45">
      <c r="A344">
        <v>7294</v>
      </c>
      <c r="B344" t="s">
        <v>408</v>
      </c>
      <c r="C344" t="s">
        <v>15</v>
      </c>
      <c r="D344" t="s">
        <v>123</v>
      </c>
      <c r="E344">
        <v>20</v>
      </c>
      <c r="F344" t="s">
        <v>37</v>
      </c>
      <c r="G344" t="s">
        <v>248</v>
      </c>
      <c r="H344">
        <v>2</v>
      </c>
      <c r="I344">
        <v>5</v>
      </c>
      <c r="J344">
        <v>5</v>
      </c>
      <c r="K344">
        <v>7</v>
      </c>
      <c r="L344" s="1">
        <v>5</v>
      </c>
      <c r="M344" t="s">
        <v>23</v>
      </c>
      <c r="N344" s="1" t="s">
        <v>102</v>
      </c>
      <c r="O344">
        <f>L344/N344</f>
        <v>5</v>
      </c>
      <c r="P344" s="1">
        <v>40</v>
      </c>
      <c r="Q344" s="1">
        <f>L344-N344</f>
        <v>4</v>
      </c>
      <c r="R344" s="1">
        <v>62</v>
      </c>
      <c r="S344">
        <f>SUM(P344,R344)</f>
        <v>102</v>
      </c>
    </row>
    <row r="345" spans="1:19" x14ac:dyDescent="0.45">
      <c r="A345">
        <v>4409</v>
      </c>
      <c r="B345" t="s">
        <v>162</v>
      </c>
      <c r="C345" t="s">
        <v>15</v>
      </c>
      <c r="D345" t="s">
        <v>26</v>
      </c>
      <c r="E345">
        <v>32</v>
      </c>
      <c r="F345" t="s">
        <v>37</v>
      </c>
      <c r="G345" t="s">
        <v>141</v>
      </c>
      <c r="H345">
        <v>3</v>
      </c>
      <c r="I345">
        <v>6</v>
      </c>
      <c r="J345">
        <v>6.33</v>
      </c>
      <c r="K345">
        <v>25</v>
      </c>
      <c r="L345" s="1">
        <v>14</v>
      </c>
      <c r="M345" t="s">
        <v>56</v>
      </c>
      <c r="N345" s="1" t="s">
        <v>116</v>
      </c>
      <c r="O345">
        <f>L345/N345</f>
        <v>2.3333333333333335</v>
      </c>
      <c r="P345" s="1">
        <v>77</v>
      </c>
      <c r="Q345" s="1">
        <f>L345-N345</f>
        <v>8</v>
      </c>
      <c r="R345" s="1">
        <v>26</v>
      </c>
      <c r="S345">
        <f>SUM(P345,R345)</f>
        <v>103</v>
      </c>
    </row>
    <row r="346" spans="1:19" x14ac:dyDescent="0.45">
      <c r="A346">
        <v>6827</v>
      </c>
      <c r="B346" t="s">
        <v>262</v>
      </c>
      <c r="C346" t="s">
        <v>15</v>
      </c>
      <c r="D346" t="s">
        <v>123</v>
      </c>
      <c r="E346">
        <v>21</v>
      </c>
      <c r="F346" t="s">
        <v>33</v>
      </c>
      <c r="G346" t="s">
        <v>63</v>
      </c>
      <c r="H346">
        <v>3</v>
      </c>
      <c r="I346">
        <v>6.33</v>
      </c>
      <c r="J346">
        <v>6.17</v>
      </c>
      <c r="K346">
        <v>13</v>
      </c>
      <c r="L346" s="1">
        <v>5</v>
      </c>
      <c r="M346" t="s">
        <v>23</v>
      </c>
      <c r="N346" s="1" t="s">
        <v>102</v>
      </c>
      <c r="O346">
        <f>L346/N346</f>
        <v>5</v>
      </c>
      <c r="P346" s="1">
        <v>41</v>
      </c>
      <c r="Q346" s="1">
        <f>L346-N346</f>
        <v>4</v>
      </c>
      <c r="R346" s="1">
        <v>63</v>
      </c>
      <c r="S346">
        <f>SUM(P346,R346)</f>
        <v>104</v>
      </c>
    </row>
    <row r="347" spans="1:19" x14ac:dyDescent="0.45">
      <c r="A347">
        <v>2155</v>
      </c>
      <c r="B347" t="s">
        <v>304</v>
      </c>
      <c r="C347" t="s">
        <v>15</v>
      </c>
      <c r="D347" t="s">
        <v>211</v>
      </c>
      <c r="E347">
        <v>28</v>
      </c>
      <c r="F347" t="s">
        <v>17</v>
      </c>
      <c r="G347" t="s">
        <v>18</v>
      </c>
      <c r="H347">
        <v>2</v>
      </c>
      <c r="I347">
        <v>6</v>
      </c>
      <c r="J347">
        <v>6</v>
      </c>
      <c r="K347">
        <v>10</v>
      </c>
      <c r="L347" s="1">
        <v>9</v>
      </c>
      <c r="M347" t="s">
        <v>50</v>
      </c>
      <c r="N347" s="1" t="s">
        <v>114</v>
      </c>
      <c r="O347">
        <f>L347/N347</f>
        <v>3</v>
      </c>
      <c r="P347" s="1">
        <v>61</v>
      </c>
      <c r="Q347" s="1">
        <f>L347-N347</f>
        <v>6</v>
      </c>
      <c r="R347" s="1">
        <v>44</v>
      </c>
      <c r="S347">
        <f>SUM(P347,R347)</f>
        <v>105</v>
      </c>
    </row>
    <row r="348" spans="1:19" x14ac:dyDescent="0.45">
      <c r="A348">
        <v>6531</v>
      </c>
      <c r="B348" t="s">
        <v>350</v>
      </c>
      <c r="C348" t="s">
        <v>15</v>
      </c>
      <c r="D348" t="s">
        <v>123</v>
      </c>
      <c r="E348">
        <v>21</v>
      </c>
      <c r="F348" t="s">
        <v>37</v>
      </c>
      <c r="G348" t="s">
        <v>332</v>
      </c>
      <c r="H348">
        <v>3</v>
      </c>
      <c r="I348">
        <v>5.5</v>
      </c>
      <c r="J348">
        <v>5.67</v>
      </c>
      <c r="K348">
        <v>9</v>
      </c>
      <c r="L348" s="1">
        <v>7</v>
      </c>
      <c r="M348" t="s">
        <v>53</v>
      </c>
      <c r="N348" s="1" t="s">
        <v>30</v>
      </c>
      <c r="O348">
        <f>L348/N348</f>
        <v>3.5</v>
      </c>
      <c r="P348" s="1">
        <v>52</v>
      </c>
      <c r="Q348" s="1">
        <f>L348-N348</f>
        <v>5</v>
      </c>
      <c r="R348" s="1">
        <v>53</v>
      </c>
      <c r="S348">
        <f>SUM(P348,R348)</f>
        <v>105</v>
      </c>
    </row>
    <row r="349" spans="1:19" x14ac:dyDescent="0.45">
      <c r="A349">
        <v>6415</v>
      </c>
      <c r="B349" t="s">
        <v>494</v>
      </c>
      <c r="C349" t="s">
        <v>15</v>
      </c>
      <c r="D349" t="s">
        <v>148</v>
      </c>
      <c r="E349">
        <v>22</v>
      </c>
      <c r="F349" t="s">
        <v>108</v>
      </c>
      <c r="G349" t="s">
        <v>109</v>
      </c>
      <c r="H349">
        <v>3</v>
      </c>
      <c r="I349">
        <v>6.17</v>
      </c>
      <c r="J349">
        <v>5.17</v>
      </c>
      <c r="K349">
        <v>6</v>
      </c>
      <c r="L349" s="1">
        <v>5</v>
      </c>
      <c r="M349" t="s">
        <v>23</v>
      </c>
      <c r="N349" s="1" t="s">
        <v>102</v>
      </c>
      <c r="O349">
        <f>L349/N349</f>
        <v>5</v>
      </c>
      <c r="P349" s="1">
        <v>42</v>
      </c>
      <c r="Q349" s="1">
        <f>L349-N349</f>
        <v>4</v>
      </c>
      <c r="R349" s="1">
        <v>64</v>
      </c>
      <c r="S349">
        <f>SUM(P349,R349)</f>
        <v>106</v>
      </c>
    </row>
    <row r="350" spans="1:19" x14ac:dyDescent="0.45">
      <c r="A350">
        <v>5946</v>
      </c>
      <c r="B350" t="s">
        <v>400</v>
      </c>
      <c r="C350" t="s">
        <v>15</v>
      </c>
      <c r="D350" t="s">
        <v>151</v>
      </c>
      <c r="E350">
        <v>29</v>
      </c>
      <c r="F350" t="s">
        <v>33</v>
      </c>
      <c r="G350" t="s">
        <v>41</v>
      </c>
      <c r="H350">
        <v>3</v>
      </c>
      <c r="I350">
        <v>5.67</v>
      </c>
      <c r="J350">
        <v>5.5</v>
      </c>
      <c r="K350">
        <v>7</v>
      </c>
      <c r="L350" s="1">
        <v>7</v>
      </c>
      <c r="M350" t="s">
        <v>50</v>
      </c>
      <c r="N350" s="1" t="s">
        <v>30</v>
      </c>
      <c r="O350">
        <f>L350/N350</f>
        <v>3.5</v>
      </c>
      <c r="P350" s="1">
        <v>53</v>
      </c>
      <c r="Q350" s="1">
        <f>L350-N350</f>
        <v>5</v>
      </c>
      <c r="R350" s="1">
        <v>54</v>
      </c>
      <c r="S350">
        <f>SUM(P350,R350)</f>
        <v>107</v>
      </c>
    </row>
    <row r="351" spans="1:19" x14ac:dyDescent="0.45">
      <c r="A351">
        <v>6202</v>
      </c>
      <c r="B351" t="s">
        <v>479</v>
      </c>
      <c r="C351" t="s">
        <v>15</v>
      </c>
      <c r="D351" t="s">
        <v>26</v>
      </c>
      <c r="E351">
        <v>28</v>
      </c>
      <c r="F351" t="s">
        <v>37</v>
      </c>
      <c r="G351" t="s">
        <v>141</v>
      </c>
      <c r="H351">
        <v>0</v>
      </c>
      <c r="I351">
        <v>0</v>
      </c>
      <c r="J351">
        <v>0</v>
      </c>
      <c r="K351">
        <v>6</v>
      </c>
      <c r="L351" s="1">
        <v>5</v>
      </c>
      <c r="M351" t="s">
        <v>19</v>
      </c>
      <c r="N351" s="1" t="s">
        <v>102</v>
      </c>
      <c r="O351">
        <f>L351/N351</f>
        <v>5</v>
      </c>
      <c r="P351" s="1">
        <v>43</v>
      </c>
      <c r="Q351" s="1">
        <f>L351-N351</f>
        <v>4</v>
      </c>
      <c r="R351" s="1">
        <v>65</v>
      </c>
      <c r="S351">
        <f>SUM(P351,R351)</f>
        <v>108</v>
      </c>
    </row>
    <row r="352" spans="1:19" x14ac:dyDescent="0.45">
      <c r="A352">
        <v>6752</v>
      </c>
      <c r="B352" t="s">
        <v>71</v>
      </c>
      <c r="C352" t="s">
        <v>15</v>
      </c>
      <c r="D352" t="s">
        <v>66</v>
      </c>
      <c r="E352">
        <v>24</v>
      </c>
      <c r="F352" t="s">
        <v>17</v>
      </c>
      <c r="G352" t="s">
        <v>17</v>
      </c>
      <c r="H352">
        <v>1</v>
      </c>
      <c r="I352">
        <v>6</v>
      </c>
      <c r="J352">
        <v>6</v>
      </c>
      <c r="K352">
        <v>70</v>
      </c>
      <c r="L352" s="1">
        <v>23</v>
      </c>
      <c r="M352" t="s">
        <v>72</v>
      </c>
      <c r="N352" s="1" t="s">
        <v>73</v>
      </c>
      <c r="O352">
        <f>L352/N352</f>
        <v>1.6428571428571428</v>
      </c>
      <c r="P352" s="1">
        <v>96</v>
      </c>
      <c r="Q352" s="1">
        <f>L352-N352</f>
        <v>9</v>
      </c>
      <c r="R352" s="1">
        <v>20</v>
      </c>
      <c r="S352">
        <f>SUM(P352,R352)</f>
        <v>116</v>
      </c>
    </row>
    <row r="353" spans="1:19" x14ac:dyDescent="0.45">
      <c r="A353">
        <v>6496</v>
      </c>
      <c r="B353" t="s">
        <v>376</v>
      </c>
      <c r="C353" t="s">
        <v>15</v>
      </c>
      <c r="D353" t="s">
        <v>45</v>
      </c>
      <c r="E353">
        <v>21</v>
      </c>
      <c r="F353" t="s">
        <v>37</v>
      </c>
      <c r="G353" t="s">
        <v>255</v>
      </c>
      <c r="H353">
        <v>2</v>
      </c>
      <c r="I353">
        <v>6</v>
      </c>
      <c r="J353">
        <v>6</v>
      </c>
      <c r="K353">
        <v>8</v>
      </c>
      <c r="L353" s="1">
        <v>8</v>
      </c>
      <c r="M353" t="s">
        <v>72</v>
      </c>
      <c r="N353" s="1" t="s">
        <v>114</v>
      </c>
      <c r="O353">
        <f>L353/N353</f>
        <v>2.6666666666666665</v>
      </c>
      <c r="P353" s="1">
        <v>62</v>
      </c>
      <c r="Q353" s="1">
        <f>L353-N353</f>
        <v>5</v>
      </c>
      <c r="R353" s="1">
        <v>55</v>
      </c>
      <c r="S353">
        <f>SUM(P353,R353)</f>
        <v>117</v>
      </c>
    </row>
    <row r="354" spans="1:19" x14ac:dyDescent="0.45">
      <c r="A354">
        <v>5022</v>
      </c>
      <c r="B354" t="s">
        <v>175</v>
      </c>
      <c r="C354" t="s">
        <v>15</v>
      </c>
      <c r="D354" t="s">
        <v>45</v>
      </c>
      <c r="E354">
        <v>25</v>
      </c>
      <c r="F354" t="s">
        <v>37</v>
      </c>
      <c r="G354" t="s">
        <v>141</v>
      </c>
      <c r="H354">
        <v>3</v>
      </c>
      <c r="I354">
        <v>6.17</v>
      </c>
      <c r="J354">
        <v>6</v>
      </c>
      <c r="K354">
        <v>24</v>
      </c>
      <c r="L354" s="1">
        <v>14</v>
      </c>
      <c r="M354" t="s">
        <v>56</v>
      </c>
      <c r="N354" s="1" t="s">
        <v>176</v>
      </c>
      <c r="O354">
        <f>L354/N354</f>
        <v>2</v>
      </c>
      <c r="P354" s="1">
        <v>86</v>
      </c>
      <c r="Q354" s="1">
        <f>L354-N354</f>
        <v>7</v>
      </c>
      <c r="R354" s="1">
        <v>32</v>
      </c>
      <c r="S354">
        <f>SUM(P354,R354)</f>
        <v>118</v>
      </c>
    </row>
    <row r="355" spans="1:19" x14ac:dyDescent="0.45">
      <c r="A355">
        <v>5029</v>
      </c>
      <c r="B355" t="s">
        <v>287</v>
      </c>
      <c r="C355" t="s">
        <v>15</v>
      </c>
      <c r="D355" t="s">
        <v>276</v>
      </c>
      <c r="E355">
        <v>25</v>
      </c>
      <c r="F355" t="s">
        <v>17</v>
      </c>
      <c r="G355" t="s">
        <v>18</v>
      </c>
      <c r="H355">
        <v>2</v>
      </c>
      <c r="I355">
        <v>5.25</v>
      </c>
      <c r="J355">
        <v>5.25</v>
      </c>
      <c r="K355">
        <v>11</v>
      </c>
      <c r="L355" s="1">
        <v>8</v>
      </c>
      <c r="M355" t="s">
        <v>42</v>
      </c>
      <c r="N355" s="1" t="s">
        <v>114</v>
      </c>
      <c r="O355">
        <f>L355/N355</f>
        <v>2.6666666666666665</v>
      </c>
      <c r="P355" s="1">
        <v>63</v>
      </c>
      <c r="Q355" s="1">
        <f>L355-N355</f>
        <v>5</v>
      </c>
      <c r="R355" s="1">
        <v>56</v>
      </c>
      <c r="S355">
        <f>SUM(P355,R355)</f>
        <v>119</v>
      </c>
    </row>
    <row r="356" spans="1:19" x14ac:dyDescent="0.45">
      <c r="A356">
        <v>4657</v>
      </c>
      <c r="B356" t="s">
        <v>380</v>
      </c>
      <c r="C356" t="s">
        <v>15</v>
      </c>
      <c r="D356" t="s">
        <v>66</v>
      </c>
      <c r="E356">
        <v>29</v>
      </c>
      <c r="F356" t="s">
        <v>37</v>
      </c>
      <c r="G356" t="s">
        <v>297</v>
      </c>
      <c r="H356">
        <v>3</v>
      </c>
      <c r="I356">
        <v>5.83</v>
      </c>
      <c r="J356">
        <v>5.67</v>
      </c>
      <c r="K356">
        <v>8</v>
      </c>
      <c r="L356" s="1">
        <v>8</v>
      </c>
      <c r="M356" t="s">
        <v>72</v>
      </c>
      <c r="N356" s="1" t="s">
        <v>114</v>
      </c>
      <c r="O356">
        <f>L356/N356</f>
        <v>2.6666666666666665</v>
      </c>
      <c r="P356" s="1">
        <v>64</v>
      </c>
      <c r="Q356" s="1">
        <f>L356-N356</f>
        <v>5</v>
      </c>
      <c r="R356" s="1">
        <v>57</v>
      </c>
      <c r="S356">
        <f>SUM(P356,R356)</f>
        <v>121</v>
      </c>
    </row>
    <row r="357" spans="1:19" x14ac:dyDescent="0.45">
      <c r="A357">
        <v>7272</v>
      </c>
      <c r="B357" t="s">
        <v>544</v>
      </c>
      <c r="C357" t="s">
        <v>15</v>
      </c>
      <c r="D357" t="s">
        <v>80</v>
      </c>
      <c r="E357">
        <v>20</v>
      </c>
      <c r="F357" t="s">
        <v>17</v>
      </c>
      <c r="G357" t="s">
        <v>18</v>
      </c>
      <c r="H357">
        <v>2</v>
      </c>
      <c r="I357">
        <v>5.75</v>
      </c>
      <c r="J357">
        <v>5.75</v>
      </c>
      <c r="K357">
        <v>4</v>
      </c>
      <c r="L357" s="1">
        <v>4</v>
      </c>
      <c r="M357" t="s">
        <v>27</v>
      </c>
      <c r="N357" s="1" t="s">
        <v>102</v>
      </c>
      <c r="O357">
        <f>L357/N357</f>
        <v>4</v>
      </c>
      <c r="P357" s="1">
        <v>46</v>
      </c>
      <c r="Q357" s="1">
        <f>L357-N357</f>
        <v>3</v>
      </c>
      <c r="R357" s="1">
        <v>75</v>
      </c>
      <c r="S357">
        <f>SUM(P357,R357)</f>
        <v>121</v>
      </c>
    </row>
    <row r="358" spans="1:19" x14ac:dyDescent="0.45">
      <c r="A358">
        <v>7535</v>
      </c>
      <c r="B358" t="s">
        <v>337</v>
      </c>
      <c r="C358" t="s">
        <v>15</v>
      </c>
      <c r="D358" t="s">
        <v>121</v>
      </c>
      <c r="E358">
        <v>23</v>
      </c>
      <c r="F358" t="s">
        <v>33</v>
      </c>
      <c r="G358" t="s">
        <v>41</v>
      </c>
      <c r="H358">
        <v>3</v>
      </c>
      <c r="I358">
        <v>6.17</v>
      </c>
      <c r="J358">
        <v>6.17</v>
      </c>
      <c r="K358">
        <v>9</v>
      </c>
      <c r="L358" s="1">
        <v>6</v>
      </c>
      <c r="M358" t="s">
        <v>50</v>
      </c>
      <c r="N358" s="1" t="s">
        <v>30</v>
      </c>
      <c r="O358">
        <f>L358/N358</f>
        <v>3</v>
      </c>
      <c r="P358" s="1">
        <v>56</v>
      </c>
      <c r="Q358" s="1">
        <f>L358-N358</f>
        <v>4</v>
      </c>
      <c r="R358" s="1">
        <v>66</v>
      </c>
      <c r="S358">
        <f>SUM(P358,R358)</f>
        <v>122</v>
      </c>
    </row>
    <row r="359" spans="1:19" x14ac:dyDescent="0.45">
      <c r="A359">
        <v>2296</v>
      </c>
      <c r="B359" t="s">
        <v>163</v>
      </c>
      <c r="C359" t="s">
        <v>15</v>
      </c>
      <c r="D359" t="s">
        <v>16</v>
      </c>
      <c r="E359">
        <v>30</v>
      </c>
      <c r="F359" t="s">
        <v>37</v>
      </c>
      <c r="G359" t="s">
        <v>141</v>
      </c>
      <c r="H359">
        <v>3</v>
      </c>
      <c r="I359">
        <v>6</v>
      </c>
      <c r="J359">
        <v>6.33</v>
      </c>
      <c r="K359">
        <v>25</v>
      </c>
      <c r="L359" s="1">
        <v>15</v>
      </c>
      <c r="M359" t="s">
        <v>27</v>
      </c>
      <c r="N359" s="1" t="s">
        <v>164</v>
      </c>
      <c r="O359">
        <f>L359/N359</f>
        <v>1.875</v>
      </c>
      <c r="P359" s="1">
        <v>90</v>
      </c>
      <c r="Q359" s="1">
        <f>L359-N359</f>
        <v>7</v>
      </c>
      <c r="R359" s="1">
        <v>33</v>
      </c>
      <c r="S359">
        <f>SUM(P359,R359)</f>
        <v>123</v>
      </c>
    </row>
    <row r="360" spans="1:19" x14ac:dyDescent="0.45">
      <c r="A360">
        <v>554</v>
      </c>
      <c r="B360" t="s">
        <v>383</v>
      </c>
      <c r="C360" t="s">
        <v>15</v>
      </c>
      <c r="D360" t="s">
        <v>93</v>
      </c>
      <c r="E360">
        <v>34</v>
      </c>
      <c r="F360" t="s">
        <v>37</v>
      </c>
      <c r="G360" t="s">
        <v>208</v>
      </c>
      <c r="H360">
        <v>3</v>
      </c>
      <c r="I360">
        <v>5.83</v>
      </c>
      <c r="J360">
        <v>5.83</v>
      </c>
      <c r="K360">
        <v>8</v>
      </c>
      <c r="L360" s="1">
        <v>8</v>
      </c>
      <c r="M360" t="s">
        <v>72</v>
      </c>
      <c r="N360" s="1" t="s">
        <v>114</v>
      </c>
      <c r="O360">
        <f>L360/N360</f>
        <v>2.6666666666666665</v>
      </c>
      <c r="P360" s="1">
        <v>65</v>
      </c>
      <c r="Q360" s="1">
        <f>L360-N360</f>
        <v>5</v>
      </c>
      <c r="R360" s="1">
        <v>58</v>
      </c>
      <c r="S360">
        <f>SUM(P360,R360)</f>
        <v>123</v>
      </c>
    </row>
    <row r="361" spans="1:19" x14ac:dyDescent="0.45">
      <c r="A361">
        <v>7131</v>
      </c>
      <c r="B361" t="s">
        <v>516</v>
      </c>
      <c r="C361" t="s">
        <v>15</v>
      </c>
      <c r="D361" t="s">
        <v>77</v>
      </c>
      <c r="E361">
        <v>23</v>
      </c>
      <c r="F361" t="s">
        <v>37</v>
      </c>
      <c r="G361" t="s">
        <v>208</v>
      </c>
      <c r="H361">
        <v>3</v>
      </c>
      <c r="I361">
        <v>6</v>
      </c>
      <c r="J361">
        <v>5.83</v>
      </c>
      <c r="K361">
        <v>5</v>
      </c>
      <c r="L361" s="1">
        <v>4</v>
      </c>
      <c r="M361" t="s">
        <v>23</v>
      </c>
      <c r="N361" s="1" t="s">
        <v>102</v>
      </c>
      <c r="O361">
        <f>L361/N361</f>
        <v>4</v>
      </c>
      <c r="P361" s="1">
        <v>47</v>
      </c>
      <c r="Q361" s="1">
        <f>L361-N361</f>
        <v>3</v>
      </c>
      <c r="R361" s="1">
        <v>76</v>
      </c>
      <c r="S361">
        <f>SUM(P361,R361)</f>
        <v>123</v>
      </c>
    </row>
    <row r="362" spans="1:19" x14ac:dyDescent="0.45">
      <c r="A362">
        <v>7001</v>
      </c>
      <c r="B362" t="s">
        <v>433</v>
      </c>
      <c r="C362" t="s">
        <v>15</v>
      </c>
      <c r="D362" t="s">
        <v>276</v>
      </c>
      <c r="E362">
        <v>26</v>
      </c>
      <c r="F362" t="s">
        <v>17</v>
      </c>
      <c r="G362" t="s">
        <v>63</v>
      </c>
      <c r="H362">
        <v>3</v>
      </c>
      <c r="I362">
        <v>5.83</v>
      </c>
      <c r="J362">
        <v>5.83</v>
      </c>
      <c r="K362">
        <v>6</v>
      </c>
      <c r="L362" s="1">
        <v>4</v>
      </c>
      <c r="M362" t="s">
        <v>53</v>
      </c>
      <c r="N362" s="1" t="s">
        <v>102</v>
      </c>
      <c r="O362">
        <f>L362/N362</f>
        <v>4</v>
      </c>
      <c r="P362" s="1">
        <v>48</v>
      </c>
      <c r="Q362" s="1">
        <f>L362-N362</f>
        <v>3</v>
      </c>
      <c r="R362" s="1">
        <v>77</v>
      </c>
      <c r="S362">
        <f>SUM(P362,R362)</f>
        <v>125</v>
      </c>
    </row>
    <row r="363" spans="1:19" x14ac:dyDescent="0.45">
      <c r="A363">
        <v>4177</v>
      </c>
      <c r="B363" t="s">
        <v>429</v>
      </c>
      <c r="C363" t="s">
        <v>15</v>
      </c>
      <c r="D363" t="s">
        <v>22</v>
      </c>
      <c r="E363">
        <v>30</v>
      </c>
      <c r="F363" t="s">
        <v>37</v>
      </c>
      <c r="G363" t="s">
        <v>178</v>
      </c>
      <c r="H363">
        <v>1</v>
      </c>
      <c r="I363">
        <v>6</v>
      </c>
      <c r="J363">
        <v>6</v>
      </c>
      <c r="K363">
        <v>7</v>
      </c>
      <c r="L363" s="1">
        <v>6</v>
      </c>
      <c r="M363" t="s">
        <v>27</v>
      </c>
      <c r="N363" s="1" t="s">
        <v>30</v>
      </c>
      <c r="O363">
        <f>L363/N363</f>
        <v>3</v>
      </c>
      <c r="P363" s="1">
        <v>60</v>
      </c>
      <c r="Q363" s="1">
        <f>L363-N363</f>
        <v>4</v>
      </c>
      <c r="R363" s="1">
        <v>67</v>
      </c>
      <c r="S363">
        <f>SUM(P363,R363)</f>
        <v>127</v>
      </c>
    </row>
    <row r="364" spans="1:19" x14ac:dyDescent="0.45">
      <c r="A364">
        <v>5578</v>
      </c>
      <c r="B364" t="s">
        <v>483</v>
      </c>
      <c r="C364" t="s">
        <v>15</v>
      </c>
      <c r="D364" t="s">
        <v>93</v>
      </c>
      <c r="E364">
        <v>25</v>
      </c>
      <c r="F364" t="s">
        <v>37</v>
      </c>
      <c r="G364" t="s">
        <v>178</v>
      </c>
      <c r="H364">
        <v>3</v>
      </c>
      <c r="I364">
        <v>5.67</v>
      </c>
      <c r="J364">
        <v>5.67</v>
      </c>
      <c r="K364">
        <v>6</v>
      </c>
      <c r="L364" s="1">
        <v>4</v>
      </c>
      <c r="M364" t="s">
        <v>19</v>
      </c>
      <c r="N364" s="1" t="s">
        <v>102</v>
      </c>
      <c r="O364">
        <f>L364/N364</f>
        <v>4</v>
      </c>
      <c r="P364" s="1">
        <v>50</v>
      </c>
      <c r="Q364" s="1">
        <f>L364-N364</f>
        <v>3</v>
      </c>
      <c r="R364" s="1">
        <v>78</v>
      </c>
      <c r="S364">
        <f>SUM(P364,R364)</f>
        <v>128</v>
      </c>
    </row>
    <row r="365" spans="1:19" x14ac:dyDescent="0.45">
      <c r="A365">
        <v>6398</v>
      </c>
      <c r="B365" t="s">
        <v>292</v>
      </c>
      <c r="C365" t="s">
        <v>15</v>
      </c>
      <c r="D365" t="s">
        <v>77</v>
      </c>
      <c r="E365">
        <v>25</v>
      </c>
      <c r="F365" t="s">
        <v>33</v>
      </c>
      <c r="G365" t="s">
        <v>63</v>
      </c>
      <c r="H365">
        <v>3</v>
      </c>
      <c r="I365">
        <v>5.83</v>
      </c>
      <c r="J365">
        <v>5.67</v>
      </c>
      <c r="K365">
        <v>11</v>
      </c>
      <c r="L365" s="1">
        <v>9</v>
      </c>
      <c r="M365" t="s">
        <v>27</v>
      </c>
      <c r="N365" s="1" t="s">
        <v>233</v>
      </c>
      <c r="O365">
        <f>L365/N365</f>
        <v>2.25</v>
      </c>
      <c r="P365" s="1">
        <v>78</v>
      </c>
      <c r="Q365" s="1">
        <f>L365-N365</f>
        <v>5</v>
      </c>
      <c r="R365" s="1">
        <v>59</v>
      </c>
      <c r="S365">
        <f>SUM(P365,R365)</f>
        <v>137</v>
      </c>
    </row>
    <row r="366" spans="1:19" x14ac:dyDescent="0.45">
      <c r="A366">
        <v>5862</v>
      </c>
      <c r="B366" t="s">
        <v>298</v>
      </c>
      <c r="C366" t="s">
        <v>15</v>
      </c>
      <c r="D366" t="s">
        <v>223</v>
      </c>
      <c r="E366">
        <v>28</v>
      </c>
      <c r="F366" t="s">
        <v>37</v>
      </c>
      <c r="G366" t="s">
        <v>255</v>
      </c>
      <c r="H366">
        <v>3</v>
      </c>
      <c r="I366">
        <v>6.17</v>
      </c>
      <c r="J366">
        <v>6.17</v>
      </c>
      <c r="K366">
        <v>11</v>
      </c>
      <c r="L366" s="1">
        <v>9</v>
      </c>
      <c r="M366" t="s">
        <v>90</v>
      </c>
      <c r="N366" s="1" t="s">
        <v>233</v>
      </c>
      <c r="O366">
        <f>L366/N366</f>
        <v>2.25</v>
      </c>
      <c r="P366" s="1">
        <v>79</v>
      </c>
      <c r="Q366" s="1">
        <f>L366-N366</f>
        <v>5</v>
      </c>
      <c r="R366" s="1">
        <v>60</v>
      </c>
      <c r="S366">
        <f>SUM(P366,R366)</f>
        <v>139</v>
      </c>
    </row>
    <row r="367" spans="1:19" x14ac:dyDescent="0.45">
      <c r="A367">
        <v>6672</v>
      </c>
      <c r="B367" t="s">
        <v>321</v>
      </c>
      <c r="C367" t="s">
        <v>15</v>
      </c>
      <c r="D367" t="s">
        <v>85</v>
      </c>
      <c r="E367">
        <v>26</v>
      </c>
      <c r="F367" t="s">
        <v>37</v>
      </c>
      <c r="G367" t="s">
        <v>141</v>
      </c>
      <c r="H367">
        <v>2</v>
      </c>
      <c r="I367">
        <v>6</v>
      </c>
      <c r="J367">
        <v>5.75</v>
      </c>
      <c r="K367">
        <v>10</v>
      </c>
      <c r="L367" s="1">
        <v>7</v>
      </c>
      <c r="M367" t="s">
        <v>50</v>
      </c>
      <c r="N367" s="1" t="s">
        <v>114</v>
      </c>
      <c r="O367">
        <f>L367/N367</f>
        <v>2.3333333333333335</v>
      </c>
      <c r="P367" s="1">
        <v>74</v>
      </c>
      <c r="Q367" s="1">
        <f>L367-N367</f>
        <v>4</v>
      </c>
      <c r="R367" s="1">
        <v>68</v>
      </c>
      <c r="S367">
        <f>SUM(P367,R367)</f>
        <v>142</v>
      </c>
    </row>
    <row r="368" spans="1:19" x14ac:dyDescent="0.45">
      <c r="A368">
        <v>6238</v>
      </c>
      <c r="B368" t="s">
        <v>521</v>
      </c>
      <c r="C368" t="s">
        <v>15</v>
      </c>
      <c r="D368" t="s">
        <v>148</v>
      </c>
      <c r="E368">
        <v>25</v>
      </c>
      <c r="F368" t="s">
        <v>37</v>
      </c>
      <c r="G368" t="s">
        <v>208</v>
      </c>
      <c r="H368">
        <v>3</v>
      </c>
      <c r="I368">
        <v>6.5</v>
      </c>
      <c r="J368">
        <v>6.67</v>
      </c>
      <c r="K368">
        <v>5</v>
      </c>
      <c r="L368" s="1">
        <v>7</v>
      </c>
      <c r="M368" t="s">
        <v>72</v>
      </c>
      <c r="N368" s="1" t="s">
        <v>114</v>
      </c>
      <c r="O368">
        <f>L368/N368</f>
        <v>2.3333333333333335</v>
      </c>
      <c r="P368" s="1">
        <v>75</v>
      </c>
      <c r="Q368" s="1">
        <f>L368-N368</f>
        <v>4</v>
      </c>
      <c r="R368" s="1">
        <v>69</v>
      </c>
      <c r="S368">
        <f>SUM(P368,R368)</f>
        <v>144</v>
      </c>
    </row>
    <row r="369" spans="1:19" x14ac:dyDescent="0.45">
      <c r="A369">
        <v>5504</v>
      </c>
      <c r="B369" t="s">
        <v>344</v>
      </c>
      <c r="C369" t="s">
        <v>15</v>
      </c>
      <c r="D369" t="s">
        <v>276</v>
      </c>
      <c r="E369">
        <v>30</v>
      </c>
      <c r="F369" t="s">
        <v>33</v>
      </c>
      <c r="G369" t="s">
        <v>41</v>
      </c>
      <c r="H369">
        <v>3</v>
      </c>
      <c r="I369">
        <v>6</v>
      </c>
      <c r="J369">
        <v>6.33</v>
      </c>
      <c r="K369">
        <v>9</v>
      </c>
      <c r="L369" s="1">
        <v>7</v>
      </c>
      <c r="M369" t="s">
        <v>42</v>
      </c>
      <c r="N369" s="1" t="s">
        <v>114</v>
      </c>
      <c r="O369">
        <f>L369/N369</f>
        <v>2.3333333333333335</v>
      </c>
      <c r="P369" s="1">
        <v>76</v>
      </c>
      <c r="Q369" s="1">
        <f>L369-N369</f>
        <v>4</v>
      </c>
      <c r="R369" s="1">
        <v>70</v>
      </c>
      <c r="S369">
        <f>SUM(P369,R369)</f>
        <v>146</v>
      </c>
    </row>
    <row r="370" spans="1:19" x14ac:dyDescent="0.45">
      <c r="A370">
        <v>7410</v>
      </c>
      <c r="B370" t="s">
        <v>466</v>
      </c>
      <c r="C370" t="s">
        <v>15</v>
      </c>
      <c r="D370" t="s">
        <v>123</v>
      </c>
      <c r="E370">
        <v>21</v>
      </c>
      <c r="F370" t="s">
        <v>37</v>
      </c>
      <c r="G370" t="s">
        <v>248</v>
      </c>
      <c r="H370">
        <v>3</v>
      </c>
      <c r="I370">
        <v>5.67</v>
      </c>
      <c r="J370">
        <v>5.67</v>
      </c>
      <c r="K370">
        <v>6</v>
      </c>
      <c r="L370" s="1">
        <v>5</v>
      </c>
      <c r="M370" t="s">
        <v>46</v>
      </c>
      <c r="N370" s="1" t="s">
        <v>30</v>
      </c>
      <c r="O370">
        <f>L370/N370</f>
        <v>2.5</v>
      </c>
      <c r="P370" s="1">
        <v>67</v>
      </c>
      <c r="Q370" s="1">
        <f>L370-N370</f>
        <v>3</v>
      </c>
      <c r="R370" s="1">
        <v>79</v>
      </c>
      <c r="S370">
        <f>SUM(P370,R370)</f>
        <v>146</v>
      </c>
    </row>
    <row r="371" spans="1:19" x14ac:dyDescent="0.45">
      <c r="A371">
        <v>7268</v>
      </c>
      <c r="B371" t="s">
        <v>410</v>
      </c>
      <c r="C371" t="s">
        <v>15</v>
      </c>
      <c r="D371" t="s">
        <v>242</v>
      </c>
      <c r="E371">
        <v>21</v>
      </c>
      <c r="F371" t="s">
        <v>37</v>
      </c>
      <c r="G371" t="s">
        <v>248</v>
      </c>
      <c r="H371">
        <v>3</v>
      </c>
      <c r="I371">
        <v>6.17</v>
      </c>
      <c r="J371">
        <v>6.17</v>
      </c>
      <c r="K371">
        <v>7</v>
      </c>
      <c r="L371" s="1">
        <v>5</v>
      </c>
      <c r="M371" t="s">
        <v>82</v>
      </c>
      <c r="N371" s="1" t="s">
        <v>30</v>
      </c>
      <c r="O371">
        <f>L371/N371</f>
        <v>2.5</v>
      </c>
      <c r="P371" s="1">
        <v>68</v>
      </c>
      <c r="Q371" s="1">
        <f>L371-N371</f>
        <v>3</v>
      </c>
      <c r="R371" s="1">
        <v>80</v>
      </c>
      <c r="S371">
        <f>SUM(P371,R371)</f>
        <v>148</v>
      </c>
    </row>
    <row r="372" spans="1:19" x14ac:dyDescent="0.45">
      <c r="A372">
        <v>6898</v>
      </c>
      <c r="B372" t="s">
        <v>357</v>
      </c>
      <c r="C372" t="s">
        <v>15</v>
      </c>
      <c r="D372" t="s">
        <v>223</v>
      </c>
      <c r="E372">
        <v>24</v>
      </c>
      <c r="F372" t="s">
        <v>33</v>
      </c>
      <c r="G372" t="s">
        <v>41</v>
      </c>
      <c r="H372">
        <v>3</v>
      </c>
      <c r="I372">
        <v>5.67</v>
      </c>
      <c r="J372">
        <v>5.5</v>
      </c>
      <c r="K372">
        <v>8</v>
      </c>
      <c r="L372" s="1">
        <v>5</v>
      </c>
      <c r="M372" t="s">
        <v>50</v>
      </c>
      <c r="N372" s="1" t="s">
        <v>30</v>
      </c>
      <c r="O372">
        <f>L372/N372</f>
        <v>2.5</v>
      </c>
      <c r="P372" s="1">
        <v>69</v>
      </c>
      <c r="Q372" s="1">
        <f>L372-N372</f>
        <v>3</v>
      </c>
      <c r="R372" s="1">
        <v>81</v>
      </c>
      <c r="S372">
        <f>SUM(P372,R372)</f>
        <v>150</v>
      </c>
    </row>
    <row r="373" spans="1:19" x14ac:dyDescent="0.45">
      <c r="A373">
        <v>7563</v>
      </c>
      <c r="B373" t="s">
        <v>465</v>
      </c>
      <c r="C373" t="s">
        <v>15</v>
      </c>
      <c r="D373" t="s">
        <v>26</v>
      </c>
      <c r="E373">
        <v>22</v>
      </c>
      <c r="F373" t="s">
        <v>37</v>
      </c>
      <c r="G373" t="s">
        <v>332</v>
      </c>
      <c r="H373">
        <v>0</v>
      </c>
      <c r="I373">
        <v>0</v>
      </c>
      <c r="J373">
        <v>0</v>
      </c>
      <c r="K373">
        <v>6</v>
      </c>
      <c r="L373" s="1">
        <v>3</v>
      </c>
      <c r="M373" t="s">
        <v>27</v>
      </c>
      <c r="N373" s="1" t="s">
        <v>102</v>
      </c>
      <c r="O373">
        <f>L373/N373</f>
        <v>3</v>
      </c>
      <c r="P373" s="1">
        <v>55</v>
      </c>
      <c r="Q373" s="1">
        <f>L373-N373</f>
        <v>2</v>
      </c>
      <c r="R373" s="1">
        <v>95</v>
      </c>
      <c r="S373">
        <f>SUM(P373,R373)</f>
        <v>150</v>
      </c>
    </row>
    <row r="374" spans="1:19" x14ac:dyDescent="0.45">
      <c r="A374">
        <v>6821</v>
      </c>
      <c r="B374" t="s">
        <v>474</v>
      </c>
      <c r="C374" t="s">
        <v>15</v>
      </c>
      <c r="D374" t="s">
        <v>221</v>
      </c>
      <c r="E374">
        <v>24</v>
      </c>
      <c r="F374" t="s">
        <v>37</v>
      </c>
      <c r="G374" t="s">
        <v>208</v>
      </c>
      <c r="H374">
        <v>4</v>
      </c>
      <c r="I374">
        <v>6.12</v>
      </c>
      <c r="J374">
        <v>7.12</v>
      </c>
      <c r="K374">
        <v>6</v>
      </c>
      <c r="L374" s="1">
        <v>5</v>
      </c>
      <c r="M374" t="s">
        <v>50</v>
      </c>
      <c r="N374" s="1" t="s">
        <v>30</v>
      </c>
      <c r="O374">
        <f>L374/N374</f>
        <v>2.5</v>
      </c>
      <c r="P374" s="1">
        <v>70</v>
      </c>
      <c r="Q374" s="1">
        <f>L374-N374</f>
        <v>3</v>
      </c>
      <c r="R374" s="1">
        <v>82</v>
      </c>
      <c r="S374">
        <f>SUM(P374,R374)</f>
        <v>152</v>
      </c>
    </row>
    <row r="375" spans="1:19" x14ac:dyDescent="0.45">
      <c r="A375">
        <v>7342</v>
      </c>
      <c r="B375" t="s">
        <v>496</v>
      </c>
      <c r="C375" t="s">
        <v>15</v>
      </c>
      <c r="D375" t="s">
        <v>223</v>
      </c>
      <c r="E375">
        <v>25</v>
      </c>
      <c r="F375" t="s">
        <v>17</v>
      </c>
      <c r="G375" t="s">
        <v>18</v>
      </c>
      <c r="H375">
        <v>1</v>
      </c>
      <c r="I375">
        <v>5.5</v>
      </c>
      <c r="J375">
        <v>5.5</v>
      </c>
      <c r="K375">
        <v>5</v>
      </c>
      <c r="L375" s="1">
        <v>3</v>
      </c>
      <c r="M375" t="s">
        <v>19</v>
      </c>
      <c r="N375" s="1" t="s">
        <v>102</v>
      </c>
      <c r="O375">
        <f>L375/N375</f>
        <v>3</v>
      </c>
      <c r="P375" s="1">
        <v>57</v>
      </c>
      <c r="Q375" s="1">
        <f>L375-N375</f>
        <v>2</v>
      </c>
      <c r="R375" s="1">
        <v>96</v>
      </c>
      <c r="S375">
        <f>SUM(P375,R375)</f>
        <v>153</v>
      </c>
    </row>
    <row r="376" spans="1:19" x14ac:dyDescent="0.45">
      <c r="A376">
        <v>6766</v>
      </c>
      <c r="B376" t="s">
        <v>475</v>
      </c>
      <c r="C376" t="s">
        <v>15</v>
      </c>
      <c r="D376" t="s">
        <v>66</v>
      </c>
      <c r="E376">
        <v>28</v>
      </c>
      <c r="F376" t="s">
        <v>37</v>
      </c>
      <c r="G376" t="s">
        <v>248</v>
      </c>
      <c r="H376">
        <v>2</v>
      </c>
      <c r="I376">
        <v>5.75</v>
      </c>
      <c r="J376">
        <v>5.75</v>
      </c>
      <c r="K376">
        <v>6</v>
      </c>
      <c r="L376" s="1">
        <v>5</v>
      </c>
      <c r="M376" t="s">
        <v>53</v>
      </c>
      <c r="N376" s="1" t="s">
        <v>30</v>
      </c>
      <c r="O376">
        <f>L376/N376</f>
        <v>2.5</v>
      </c>
      <c r="P376" s="1">
        <v>71</v>
      </c>
      <c r="Q376" s="1">
        <f>L376-N376</f>
        <v>3</v>
      </c>
      <c r="R376" s="1">
        <v>83</v>
      </c>
      <c r="S376">
        <f>SUM(P376,R376)</f>
        <v>154</v>
      </c>
    </row>
    <row r="377" spans="1:19" x14ac:dyDescent="0.45">
      <c r="A377">
        <v>6495</v>
      </c>
      <c r="B377" t="s">
        <v>420</v>
      </c>
      <c r="C377" t="s">
        <v>15</v>
      </c>
      <c r="D377" t="s">
        <v>121</v>
      </c>
      <c r="E377">
        <v>21</v>
      </c>
      <c r="F377" t="s">
        <v>37</v>
      </c>
      <c r="G377" t="s">
        <v>141</v>
      </c>
      <c r="H377">
        <v>3</v>
      </c>
      <c r="I377">
        <v>6.17</v>
      </c>
      <c r="J377">
        <v>7.17</v>
      </c>
      <c r="K377">
        <v>7</v>
      </c>
      <c r="L377" s="1">
        <v>8</v>
      </c>
      <c r="M377" t="s">
        <v>50</v>
      </c>
      <c r="N377" s="1" t="s">
        <v>233</v>
      </c>
      <c r="O377">
        <f>L377/N377</f>
        <v>2</v>
      </c>
      <c r="P377" s="1">
        <v>85</v>
      </c>
      <c r="Q377" s="1">
        <f>L377-N377</f>
        <v>4</v>
      </c>
      <c r="R377" s="1">
        <v>71</v>
      </c>
      <c r="S377">
        <f>SUM(P377,R377)</f>
        <v>156</v>
      </c>
    </row>
    <row r="378" spans="1:19" x14ac:dyDescent="0.45">
      <c r="A378">
        <v>6021</v>
      </c>
      <c r="B378" t="s">
        <v>523</v>
      </c>
      <c r="C378" t="s">
        <v>15</v>
      </c>
      <c r="D378" t="s">
        <v>80</v>
      </c>
      <c r="E378">
        <v>22</v>
      </c>
      <c r="F378" t="s">
        <v>37</v>
      </c>
      <c r="G378" t="s">
        <v>178</v>
      </c>
      <c r="H378">
        <v>3</v>
      </c>
      <c r="I378">
        <v>6.17</v>
      </c>
      <c r="J378">
        <v>6</v>
      </c>
      <c r="K378">
        <v>5</v>
      </c>
      <c r="L378" s="1">
        <v>3</v>
      </c>
      <c r="M378" t="s">
        <v>53</v>
      </c>
      <c r="N378" s="1" t="s">
        <v>102</v>
      </c>
      <c r="O378">
        <f>L378/N378</f>
        <v>3</v>
      </c>
      <c r="P378" s="1">
        <v>59</v>
      </c>
      <c r="Q378" s="1">
        <f>L378-N378</f>
        <v>2</v>
      </c>
      <c r="R378" s="1">
        <v>97</v>
      </c>
      <c r="S378">
        <f>SUM(P378,R378)</f>
        <v>156</v>
      </c>
    </row>
    <row r="379" spans="1:19" x14ac:dyDescent="0.45">
      <c r="A379">
        <v>4502</v>
      </c>
      <c r="B379" t="s">
        <v>488</v>
      </c>
      <c r="C379" t="s">
        <v>15</v>
      </c>
      <c r="D379" t="s">
        <v>276</v>
      </c>
      <c r="E379">
        <v>26</v>
      </c>
      <c r="F379" t="s">
        <v>37</v>
      </c>
      <c r="G379" t="s">
        <v>255</v>
      </c>
      <c r="H379">
        <v>2</v>
      </c>
      <c r="I379">
        <v>5.5</v>
      </c>
      <c r="J379">
        <v>5.5</v>
      </c>
      <c r="K379">
        <v>6</v>
      </c>
      <c r="L379" s="1">
        <v>5</v>
      </c>
      <c r="M379" t="s">
        <v>42</v>
      </c>
      <c r="N379" s="1" t="s">
        <v>30</v>
      </c>
      <c r="O379">
        <f>L379/N379</f>
        <v>2.5</v>
      </c>
      <c r="P379" s="1">
        <v>73</v>
      </c>
      <c r="Q379" s="1">
        <f>L379-N379</f>
        <v>3</v>
      </c>
      <c r="R379" s="1">
        <v>84</v>
      </c>
      <c r="S379">
        <f>SUM(P379,R379)</f>
        <v>157</v>
      </c>
    </row>
    <row r="380" spans="1:19" x14ac:dyDescent="0.45">
      <c r="A380">
        <v>2765</v>
      </c>
      <c r="B380" t="s">
        <v>367</v>
      </c>
      <c r="C380" t="s">
        <v>15</v>
      </c>
      <c r="D380" t="s">
        <v>62</v>
      </c>
      <c r="E380">
        <v>27</v>
      </c>
      <c r="F380" t="s">
        <v>33</v>
      </c>
      <c r="G380" t="s">
        <v>59</v>
      </c>
      <c r="H380">
        <v>3</v>
      </c>
      <c r="I380">
        <v>5.67</v>
      </c>
      <c r="J380">
        <v>5.5</v>
      </c>
      <c r="K380">
        <v>8</v>
      </c>
      <c r="L380" s="1">
        <v>8</v>
      </c>
      <c r="M380" t="s">
        <v>19</v>
      </c>
      <c r="N380" s="1" t="s">
        <v>233</v>
      </c>
      <c r="O380">
        <f>L380/N380</f>
        <v>2</v>
      </c>
      <c r="P380" s="1">
        <v>88</v>
      </c>
      <c r="Q380" s="1">
        <f>L380-N380</f>
        <v>4</v>
      </c>
      <c r="R380" s="1">
        <v>72</v>
      </c>
      <c r="S380">
        <f>SUM(P380,R380)</f>
        <v>160</v>
      </c>
    </row>
    <row r="381" spans="1:19" x14ac:dyDescent="0.45">
      <c r="A381">
        <v>2120</v>
      </c>
      <c r="B381" t="s">
        <v>195</v>
      </c>
      <c r="C381" t="s">
        <v>15</v>
      </c>
      <c r="D381" t="s">
        <v>22</v>
      </c>
      <c r="E381">
        <v>27</v>
      </c>
      <c r="F381" t="s">
        <v>37</v>
      </c>
      <c r="G381" t="s">
        <v>141</v>
      </c>
      <c r="H381">
        <v>3</v>
      </c>
      <c r="I381">
        <v>6</v>
      </c>
      <c r="J381">
        <v>6</v>
      </c>
      <c r="K381">
        <v>21</v>
      </c>
      <c r="L381" s="1">
        <v>14</v>
      </c>
      <c r="M381" t="s">
        <v>27</v>
      </c>
      <c r="N381" s="1" t="s">
        <v>196</v>
      </c>
      <c r="O381">
        <f>L381/N381</f>
        <v>1.5555555555555556</v>
      </c>
      <c r="P381" s="1">
        <v>102</v>
      </c>
      <c r="Q381" s="1">
        <f>L381-N381</f>
        <v>5</v>
      </c>
      <c r="R381" s="1">
        <v>61</v>
      </c>
      <c r="S381">
        <f>SUM(P381,R381)</f>
        <v>163</v>
      </c>
    </row>
    <row r="382" spans="1:19" x14ac:dyDescent="0.45">
      <c r="A382">
        <v>6534</v>
      </c>
      <c r="B382" t="s">
        <v>285</v>
      </c>
      <c r="C382" t="s">
        <v>15</v>
      </c>
      <c r="D382" t="s">
        <v>121</v>
      </c>
      <c r="E382">
        <v>29</v>
      </c>
      <c r="F382" t="s">
        <v>108</v>
      </c>
      <c r="G382" t="s">
        <v>109</v>
      </c>
      <c r="H382">
        <v>1</v>
      </c>
      <c r="I382">
        <v>5.5</v>
      </c>
      <c r="J382">
        <v>4.5</v>
      </c>
      <c r="K382">
        <v>12</v>
      </c>
      <c r="L382" s="1">
        <v>9</v>
      </c>
      <c r="M382" t="s">
        <v>46</v>
      </c>
      <c r="N382" s="1" t="s">
        <v>112</v>
      </c>
      <c r="O382">
        <f>L382/N382</f>
        <v>1.8</v>
      </c>
      <c r="P382" s="1">
        <v>91</v>
      </c>
      <c r="Q382" s="1">
        <f>L382-N382</f>
        <v>4</v>
      </c>
      <c r="R382" s="1">
        <v>73</v>
      </c>
      <c r="S382">
        <f>SUM(P382,R382)</f>
        <v>164</v>
      </c>
    </row>
    <row r="383" spans="1:19" x14ac:dyDescent="0.45">
      <c r="A383">
        <v>7467</v>
      </c>
      <c r="B383" t="s">
        <v>405</v>
      </c>
      <c r="C383" t="s">
        <v>15</v>
      </c>
      <c r="D383" t="s">
        <v>148</v>
      </c>
      <c r="E383">
        <v>22</v>
      </c>
      <c r="F383" t="s">
        <v>37</v>
      </c>
      <c r="G383" t="s">
        <v>141</v>
      </c>
      <c r="H383">
        <v>3</v>
      </c>
      <c r="I383">
        <v>6.5</v>
      </c>
      <c r="J383">
        <v>6.17</v>
      </c>
      <c r="K383">
        <v>7</v>
      </c>
      <c r="L383" s="1">
        <v>6</v>
      </c>
      <c r="M383" t="s">
        <v>56</v>
      </c>
      <c r="N383" s="1" t="s">
        <v>114</v>
      </c>
      <c r="O383">
        <f>L383/N383</f>
        <v>2</v>
      </c>
      <c r="P383" s="1">
        <v>81</v>
      </c>
      <c r="Q383" s="1">
        <f>L383-N383</f>
        <v>3</v>
      </c>
      <c r="R383" s="1">
        <v>85</v>
      </c>
      <c r="S383">
        <f>SUM(P383,R383)</f>
        <v>166</v>
      </c>
    </row>
    <row r="384" spans="1:19" x14ac:dyDescent="0.45">
      <c r="A384">
        <v>4952</v>
      </c>
      <c r="B384" t="s">
        <v>426</v>
      </c>
      <c r="C384" t="s">
        <v>15</v>
      </c>
      <c r="D384" t="s">
        <v>148</v>
      </c>
      <c r="E384">
        <v>25</v>
      </c>
      <c r="F384" t="s">
        <v>37</v>
      </c>
      <c r="G384" t="s">
        <v>141</v>
      </c>
      <c r="H384">
        <v>2</v>
      </c>
      <c r="I384">
        <v>6</v>
      </c>
      <c r="J384">
        <v>6</v>
      </c>
      <c r="K384">
        <v>7</v>
      </c>
      <c r="L384" s="1">
        <v>6</v>
      </c>
      <c r="M384" t="s">
        <v>27</v>
      </c>
      <c r="N384" s="1" t="s">
        <v>114</v>
      </c>
      <c r="O384">
        <f>L384/N384</f>
        <v>2</v>
      </c>
      <c r="P384" s="1">
        <v>87</v>
      </c>
      <c r="Q384" s="1">
        <f>L384-N384</f>
        <v>3</v>
      </c>
      <c r="R384" s="1">
        <v>86</v>
      </c>
      <c r="S384">
        <f>SUM(P384,R384)</f>
        <v>173</v>
      </c>
    </row>
    <row r="385" spans="1:19" x14ac:dyDescent="0.45">
      <c r="A385">
        <v>7129</v>
      </c>
      <c r="B385" t="s">
        <v>261</v>
      </c>
      <c r="C385" t="s">
        <v>15</v>
      </c>
      <c r="D385" t="s">
        <v>32</v>
      </c>
      <c r="E385">
        <v>21</v>
      </c>
      <c r="F385" t="s">
        <v>33</v>
      </c>
      <c r="G385" t="s">
        <v>63</v>
      </c>
      <c r="H385">
        <v>1</v>
      </c>
      <c r="I385">
        <v>5.5</v>
      </c>
      <c r="J385">
        <v>5.5</v>
      </c>
      <c r="K385">
        <v>13</v>
      </c>
      <c r="L385" s="1">
        <v>11</v>
      </c>
      <c r="M385" t="s">
        <v>23</v>
      </c>
      <c r="N385" s="1" t="s">
        <v>176</v>
      </c>
      <c r="O385">
        <f>L385/N385</f>
        <v>1.5714285714285714</v>
      </c>
      <c r="P385" s="1">
        <v>101</v>
      </c>
      <c r="Q385" s="1">
        <f>L385-N385</f>
        <v>4</v>
      </c>
      <c r="R385" s="1">
        <v>74</v>
      </c>
      <c r="S385">
        <f>SUM(P385,R385)</f>
        <v>175</v>
      </c>
    </row>
    <row r="386" spans="1:19" x14ac:dyDescent="0.45">
      <c r="A386">
        <v>7573</v>
      </c>
      <c r="B386" t="s">
        <v>634</v>
      </c>
      <c r="C386" t="s">
        <v>15</v>
      </c>
      <c r="D386" t="s">
        <v>85</v>
      </c>
      <c r="E386">
        <v>22</v>
      </c>
      <c r="F386" t="s">
        <v>37</v>
      </c>
      <c r="G386" t="s">
        <v>208</v>
      </c>
      <c r="H386">
        <v>3</v>
      </c>
      <c r="I386">
        <v>6</v>
      </c>
      <c r="J386">
        <v>6.33</v>
      </c>
      <c r="K386">
        <v>2</v>
      </c>
      <c r="L386" s="1">
        <v>4</v>
      </c>
      <c r="M386" t="s">
        <v>50</v>
      </c>
      <c r="N386" s="1" t="s">
        <v>30</v>
      </c>
      <c r="O386">
        <f>L386/N386</f>
        <v>2</v>
      </c>
      <c r="P386" s="1">
        <v>80</v>
      </c>
      <c r="Q386" s="1">
        <f>L386-N386</f>
        <v>2</v>
      </c>
      <c r="R386" s="1">
        <v>98</v>
      </c>
      <c r="S386">
        <f>SUM(P386,R386)</f>
        <v>178</v>
      </c>
    </row>
    <row r="387" spans="1:19" x14ac:dyDescent="0.45">
      <c r="A387">
        <v>6666</v>
      </c>
      <c r="B387" t="s">
        <v>232</v>
      </c>
      <c r="C387" t="s">
        <v>15</v>
      </c>
      <c r="D387" t="s">
        <v>223</v>
      </c>
      <c r="E387">
        <v>25</v>
      </c>
      <c r="F387" t="s">
        <v>33</v>
      </c>
      <c r="G387" t="s">
        <v>33</v>
      </c>
      <c r="H387">
        <v>2</v>
      </c>
      <c r="I387">
        <v>5.75</v>
      </c>
      <c r="J387">
        <v>5.75</v>
      </c>
      <c r="K387">
        <v>16</v>
      </c>
      <c r="L387" s="1">
        <v>7</v>
      </c>
      <c r="M387" t="s">
        <v>72</v>
      </c>
      <c r="N387" s="1" t="s">
        <v>233</v>
      </c>
      <c r="O387">
        <f>L387/N387</f>
        <v>1.75</v>
      </c>
      <c r="P387" s="1">
        <v>92</v>
      </c>
      <c r="Q387" s="1">
        <f>L387-N387</f>
        <v>3</v>
      </c>
      <c r="R387" s="1">
        <v>87</v>
      </c>
      <c r="S387">
        <f>SUM(P387,R387)</f>
        <v>179</v>
      </c>
    </row>
    <row r="388" spans="1:19" x14ac:dyDescent="0.45">
      <c r="A388">
        <v>4870</v>
      </c>
      <c r="B388" t="s">
        <v>403</v>
      </c>
      <c r="C388" t="s">
        <v>15</v>
      </c>
      <c r="D388" t="s">
        <v>242</v>
      </c>
      <c r="E388">
        <v>26</v>
      </c>
      <c r="F388" t="s">
        <v>33</v>
      </c>
      <c r="G388" t="s">
        <v>41</v>
      </c>
      <c r="H388">
        <v>3</v>
      </c>
      <c r="I388">
        <v>6.17</v>
      </c>
      <c r="J388">
        <v>6.5</v>
      </c>
      <c r="K388">
        <v>7</v>
      </c>
      <c r="L388" s="1">
        <v>7</v>
      </c>
      <c r="M388" t="s">
        <v>42</v>
      </c>
      <c r="N388" s="1" t="s">
        <v>233</v>
      </c>
      <c r="O388">
        <f>L388/N388</f>
        <v>1.75</v>
      </c>
      <c r="P388" s="1">
        <v>93</v>
      </c>
      <c r="Q388" s="1">
        <f>L388-N388</f>
        <v>3</v>
      </c>
      <c r="R388" s="1">
        <v>88</v>
      </c>
      <c r="S388">
        <f>SUM(P388,R388)</f>
        <v>181</v>
      </c>
    </row>
    <row r="389" spans="1:19" x14ac:dyDescent="0.45">
      <c r="A389">
        <v>7235</v>
      </c>
      <c r="B389" t="s">
        <v>413</v>
      </c>
      <c r="C389" t="s">
        <v>15</v>
      </c>
      <c r="D389" t="s">
        <v>223</v>
      </c>
      <c r="E389">
        <v>23</v>
      </c>
      <c r="F389" t="s">
        <v>37</v>
      </c>
      <c r="G389" t="s">
        <v>141</v>
      </c>
      <c r="H389">
        <v>3</v>
      </c>
      <c r="I389">
        <v>5.67</v>
      </c>
      <c r="J389">
        <v>5.5</v>
      </c>
      <c r="K389">
        <v>7</v>
      </c>
      <c r="L389" s="1">
        <v>4</v>
      </c>
      <c r="M389" t="s">
        <v>46</v>
      </c>
      <c r="N389" s="1" t="s">
        <v>30</v>
      </c>
      <c r="O389">
        <f>L389/N389</f>
        <v>2</v>
      </c>
      <c r="P389" s="1">
        <v>82</v>
      </c>
      <c r="Q389" s="1">
        <f>L389-N389</f>
        <v>2</v>
      </c>
      <c r="R389" s="1">
        <v>99</v>
      </c>
      <c r="S389">
        <f>SUM(P389,R389)</f>
        <v>181</v>
      </c>
    </row>
    <row r="390" spans="1:19" x14ac:dyDescent="0.45">
      <c r="A390">
        <v>7127</v>
      </c>
      <c r="B390" t="s">
        <v>505</v>
      </c>
      <c r="C390" t="s">
        <v>15</v>
      </c>
      <c r="D390" t="s">
        <v>32</v>
      </c>
      <c r="E390">
        <v>21</v>
      </c>
      <c r="F390" t="s">
        <v>33</v>
      </c>
      <c r="G390" t="s">
        <v>63</v>
      </c>
      <c r="H390">
        <v>0</v>
      </c>
      <c r="I390">
        <v>0</v>
      </c>
      <c r="J390">
        <v>0</v>
      </c>
      <c r="K390">
        <v>5</v>
      </c>
      <c r="L390" s="1">
        <v>4</v>
      </c>
      <c r="M390" t="s">
        <v>56</v>
      </c>
      <c r="N390" s="1" t="s">
        <v>30</v>
      </c>
      <c r="O390">
        <f>L390/N390</f>
        <v>2</v>
      </c>
      <c r="P390" s="1">
        <v>83</v>
      </c>
      <c r="Q390" s="1">
        <f>L390-N390</f>
        <v>2</v>
      </c>
      <c r="R390" s="1">
        <v>100</v>
      </c>
      <c r="S390">
        <f>SUM(P390,R390)</f>
        <v>183</v>
      </c>
    </row>
    <row r="391" spans="1:19" x14ac:dyDescent="0.45">
      <c r="A391">
        <v>6519</v>
      </c>
      <c r="B391" t="s">
        <v>301</v>
      </c>
      <c r="C391" t="s">
        <v>15</v>
      </c>
      <c r="D391" t="s">
        <v>45</v>
      </c>
      <c r="E391">
        <v>18</v>
      </c>
      <c r="F391" t="s">
        <v>17</v>
      </c>
      <c r="G391" t="s">
        <v>18</v>
      </c>
      <c r="H391">
        <v>0</v>
      </c>
      <c r="I391">
        <v>0</v>
      </c>
      <c r="J391">
        <v>0</v>
      </c>
      <c r="K391">
        <v>10</v>
      </c>
      <c r="L391" s="1">
        <v>4</v>
      </c>
      <c r="M391" t="s">
        <v>56</v>
      </c>
      <c r="N391" s="1" t="s">
        <v>30</v>
      </c>
      <c r="O391">
        <f>L391/N391</f>
        <v>2</v>
      </c>
      <c r="P391" s="1">
        <v>84</v>
      </c>
      <c r="Q391" s="1">
        <f>L391-N391</f>
        <v>2</v>
      </c>
      <c r="R391" s="1">
        <v>101</v>
      </c>
      <c r="S391">
        <f>SUM(P391,R391)</f>
        <v>185</v>
      </c>
    </row>
    <row r="392" spans="1:19" x14ac:dyDescent="0.45">
      <c r="A392">
        <v>7311</v>
      </c>
      <c r="B392" t="s">
        <v>290</v>
      </c>
      <c r="C392" t="s">
        <v>15</v>
      </c>
      <c r="D392" t="s">
        <v>242</v>
      </c>
      <c r="E392">
        <v>20</v>
      </c>
      <c r="F392" t="s">
        <v>33</v>
      </c>
      <c r="G392" t="s">
        <v>41</v>
      </c>
      <c r="H392">
        <v>3</v>
      </c>
      <c r="I392">
        <v>6.5</v>
      </c>
      <c r="J392">
        <v>7.5</v>
      </c>
      <c r="K392">
        <v>11</v>
      </c>
      <c r="L392" s="1">
        <v>8</v>
      </c>
      <c r="M392" t="s">
        <v>46</v>
      </c>
      <c r="N392" s="1" t="s">
        <v>112</v>
      </c>
      <c r="O392">
        <f>L392/N392</f>
        <v>1.6</v>
      </c>
      <c r="P392" s="1">
        <v>97</v>
      </c>
      <c r="Q392" s="1">
        <f>L392-N392</f>
        <v>3</v>
      </c>
      <c r="R392" s="1">
        <v>89</v>
      </c>
      <c r="S392">
        <f>SUM(P392,R392)</f>
        <v>186</v>
      </c>
    </row>
    <row r="393" spans="1:19" x14ac:dyDescent="0.45">
      <c r="A393">
        <v>6664</v>
      </c>
      <c r="B393" t="s">
        <v>296</v>
      </c>
      <c r="C393" t="s">
        <v>15</v>
      </c>
      <c r="D393" t="s">
        <v>223</v>
      </c>
      <c r="E393">
        <v>27</v>
      </c>
      <c r="F393" t="s">
        <v>37</v>
      </c>
      <c r="G393" t="s">
        <v>297</v>
      </c>
      <c r="H393">
        <v>3</v>
      </c>
      <c r="I393">
        <v>6</v>
      </c>
      <c r="J393">
        <v>5.83</v>
      </c>
      <c r="K393">
        <v>11</v>
      </c>
      <c r="L393" s="1">
        <v>8</v>
      </c>
      <c r="M393" t="s">
        <v>46</v>
      </c>
      <c r="N393" s="1" t="s">
        <v>112</v>
      </c>
      <c r="O393">
        <f>L393/N393</f>
        <v>1.6</v>
      </c>
      <c r="P393" s="1">
        <v>98</v>
      </c>
      <c r="Q393" s="1">
        <f>L393-N393</f>
        <v>3</v>
      </c>
      <c r="R393" s="1">
        <v>90</v>
      </c>
      <c r="S393">
        <f>SUM(P393,R393)</f>
        <v>188</v>
      </c>
    </row>
    <row r="394" spans="1:19" x14ac:dyDescent="0.45">
      <c r="A394">
        <v>5701</v>
      </c>
      <c r="B394" t="s">
        <v>378</v>
      </c>
      <c r="C394" t="s">
        <v>15</v>
      </c>
      <c r="D394" t="s">
        <v>242</v>
      </c>
      <c r="E394">
        <v>24</v>
      </c>
      <c r="F394" t="s">
        <v>37</v>
      </c>
      <c r="G394" t="s">
        <v>325</v>
      </c>
      <c r="H394">
        <v>3</v>
      </c>
      <c r="I394">
        <v>6</v>
      </c>
      <c r="J394">
        <v>6</v>
      </c>
      <c r="K394">
        <v>8</v>
      </c>
      <c r="L394" s="1">
        <v>8</v>
      </c>
      <c r="M394" t="s">
        <v>90</v>
      </c>
      <c r="N394" s="1" t="s">
        <v>112</v>
      </c>
      <c r="O394">
        <f>L394/N394</f>
        <v>1.6</v>
      </c>
      <c r="P394" s="1">
        <v>99</v>
      </c>
      <c r="Q394" s="1">
        <f>L394-N394</f>
        <v>3</v>
      </c>
      <c r="R394" s="1">
        <v>91</v>
      </c>
      <c r="S394">
        <f>SUM(P394,R394)</f>
        <v>190</v>
      </c>
    </row>
    <row r="395" spans="1:19" x14ac:dyDescent="0.45">
      <c r="A395">
        <v>2170</v>
      </c>
      <c r="B395" t="s">
        <v>615</v>
      </c>
      <c r="C395" t="s">
        <v>15</v>
      </c>
      <c r="D395" t="s">
        <v>26</v>
      </c>
      <c r="E395">
        <v>29</v>
      </c>
      <c r="F395" t="s">
        <v>108</v>
      </c>
      <c r="G395" t="s">
        <v>109</v>
      </c>
      <c r="H395">
        <v>0</v>
      </c>
      <c r="I395">
        <v>0</v>
      </c>
      <c r="J395">
        <v>0</v>
      </c>
      <c r="K395">
        <v>3</v>
      </c>
      <c r="L395" s="1">
        <v>4</v>
      </c>
      <c r="M395" t="s">
        <v>56</v>
      </c>
      <c r="N395" s="1" t="s">
        <v>30</v>
      </c>
      <c r="O395">
        <f>L395/N395</f>
        <v>2</v>
      </c>
      <c r="P395" s="1">
        <v>89</v>
      </c>
      <c r="Q395" s="1">
        <f>L395-N395</f>
        <v>2</v>
      </c>
      <c r="R395" s="1">
        <v>102</v>
      </c>
      <c r="S395">
        <f>SUM(P395,R395)</f>
        <v>191</v>
      </c>
    </row>
    <row r="396" spans="1:19" x14ac:dyDescent="0.45">
      <c r="A396">
        <v>1852</v>
      </c>
      <c r="B396" t="s">
        <v>284</v>
      </c>
      <c r="C396" t="s">
        <v>15</v>
      </c>
      <c r="D396" t="s">
        <v>26</v>
      </c>
      <c r="E396">
        <v>33</v>
      </c>
      <c r="F396" t="s">
        <v>37</v>
      </c>
      <c r="G396" t="s">
        <v>255</v>
      </c>
      <c r="H396">
        <v>3</v>
      </c>
      <c r="I396">
        <v>5.67</v>
      </c>
      <c r="J396">
        <v>5.67</v>
      </c>
      <c r="K396">
        <v>12</v>
      </c>
      <c r="L396" s="1">
        <v>8</v>
      </c>
      <c r="M396" t="s">
        <v>50</v>
      </c>
      <c r="N396" s="1" t="s">
        <v>112</v>
      </c>
      <c r="O396">
        <f>L396/N396</f>
        <v>1.6</v>
      </c>
      <c r="P396" s="1">
        <v>100</v>
      </c>
      <c r="Q396" s="1">
        <f>L396-N396</f>
        <v>3</v>
      </c>
      <c r="R396" s="1">
        <v>92</v>
      </c>
      <c r="S396">
        <f>SUM(P396,R396)</f>
        <v>192</v>
      </c>
    </row>
    <row r="397" spans="1:19" x14ac:dyDescent="0.45">
      <c r="A397">
        <v>7561</v>
      </c>
      <c r="B397" t="s">
        <v>336</v>
      </c>
      <c r="C397" t="s">
        <v>15</v>
      </c>
      <c r="D397" t="s">
        <v>223</v>
      </c>
      <c r="E397">
        <v>18</v>
      </c>
      <c r="F397" t="s">
        <v>17</v>
      </c>
      <c r="G397" t="s">
        <v>17</v>
      </c>
      <c r="H397">
        <v>3</v>
      </c>
      <c r="I397">
        <v>6.5</v>
      </c>
      <c r="J397">
        <v>7.5</v>
      </c>
      <c r="K397">
        <v>9</v>
      </c>
      <c r="L397" s="1">
        <v>5</v>
      </c>
      <c r="M397" t="s">
        <v>53</v>
      </c>
      <c r="N397" s="1" t="s">
        <v>114</v>
      </c>
      <c r="O397">
        <f>L397/N397</f>
        <v>1.6666666666666667</v>
      </c>
      <c r="P397" s="1">
        <v>94</v>
      </c>
      <c r="Q397" s="1">
        <f>L397-N397</f>
        <v>2</v>
      </c>
      <c r="R397" s="1">
        <v>103</v>
      </c>
      <c r="S397">
        <f>SUM(P397,R397)</f>
        <v>197</v>
      </c>
    </row>
    <row r="398" spans="1:19" x14ac:dyDescent="0.45">
      <c r="A398">
        <v>4359</v>
      </c>
      <c r="B398" t="s">
        <v>160</v>
      </c>
      <c r="C398" t="s">
        <v>15</v>
      </c>
      <c r="D398" t="s">
        <v>62</v>
      </c>
      <c r="E398">
        <v>25</v>
      </c>
      <c r="F398" t="s">
        <v>17</v>
      </c>
      <c r="G398" t="s">
        <v>18</v>
      </c>
      <c r="H398">
        <v>3</v>
      </c>
      <c r="I398">
        <v>5.83</v>
      </c>
      <c r="J398">
        <v>6.83</v>
      </c>
      <c r="K398">
        <v>25</v>
      </c>
      <c r="L398" s="1">
        <v>9</v>
      </c>
      <c r="M398" t="s">
        <v>50</v>
      </c>
      <c r="N398" s="1" t="s">
        <v>116</v>
      </c>
      <c r="O398">
        <f>L398/N398</f>
        <v>1.5</v>
      </c>
      <c r="P398" s="1">
        <v>105</v>
      </c>
      <c r="Q398" s="1">
        <f>L398-N398</f>
        <v>3</v>
      </c>
      <c r="R398" s="1">
        <v>93</v>
      </c>
      <c r="S398">
        <f>SUM(P398,R398)</f>
        <v>198</v>
      </c>
    </row>
    <row r="399" spans="1:19" x14ac:dyDescent="0.45">
      <c r="A399">
        <v>5838</v>
      </c>
      <c r="B399" t="s">
        <v>481</v>
      </c>
      <c r="C399" t="s">
        <v>15</v>
      </c>
      <c r="D399" t="s">
        <v>211</v>
      </c>
      <c r="E399">
        <v>27</v>
      </c>
      <c r="F399" t="s">
        <v>37</v>
      </c>
      <c r="G399" t="s">
        <v>332</v>
      </c>
      <c r="H399">
        <v>3</v>
      </c>
      <c r="I399">
        <v>5.83</v>
      </c>
      <c r="J399">
        <v>5.83</v>
      </c>
      <c r="K399">
        <v>6</v>
      </c>
      <c r="L399" s="1">
        <v>5</v>
      </c>
      <c r="M399" t="s">
        <v>72</v>
      </c>
      <c r="N399" s="1" t="s">
        <v>114</v>
      </c>
      <c r="O399">
        <f>L399/N399</f>
        <v>1.6666666666666667</v>
      </c>
      <c r="P399" s="1">
        <v>95</v>
      </c>
      <c r="Q399" s="1">
        <f>L399-N399</f>
        <v>2</v>
      </c>
      <c r="R399" s="1">
        <v>104</v>
      </c>
      <c r="S399">
        <f>SUM(P399,R399)</f>
        <v>199</v>
      </c>
    </row>
    <row r="400" spans="1:19" x14ac:dyDescent="0.45">
      <c r="A400">
        <v>6966</v>
      </c>
      <c r="B400" t="s">
        <v>165</v>
      </c>
      <c r="C400" t="s">
        <v>15</v>
      </c>
      <c r="D400" t="s">
        <v>32</v>
      </c>
      <c r="E400">
        <v>31</v>
      </c>
      <c r="F400" t="s">
        <v>108</v>
      </c>
      <c r="G400" t="s">
        <v>109</v>
      </c>
      <c r="H400">
        <v>3</v>
      </c>
      <c r="I400">
        <v>5.83</v>
      </c>
      <c r="J400">
        <v>4.83</v>
      </c>
      <c r="K400">
        <v>25</v>
      </c>
      <c r="L400" s="1">
        <v>15</v>
      </c>
      <c r="M400" t="s">
        <v>69</v>
      </c>
      <c r="N400" s="1" t="s">
        <v>166</v>
      </c>
      <c r="O400">
        <f>L400/N400</f>
        <v>1.25</v>
      </c>
      <c r="P400" s="1">
        <v>113</v>
      </c>
      <c r="Q400" s="1">
        <f>L400-N400</f>
        <v>3</v>
      </c>
      <c r="R400" s="1">
        <v>94</v>
      </c>
      <c r="S400">
        <f>SUM(P400,R400)</f>
        <v>207</v>
      </c>
    </row>
    <row r="401" spans="1:19" x14ac:dyDescent="0.45">
      <c r="A401">
        <v>7060</v>
      </c>
      <c r="B401" t="s">
        <v>252</v>
      </c>
      <c r="C401" t="s">
        <v>15</v>
      </c>
      <c r="D401" t="s">
        <v>121</v>
      </c>
      <c r="E401">
        <v>19</v>
      </c>
      <c r="F401" t="s">
        <v>33</v>
      </c>
      <c r="G401" t="s">
        <v>38</v>
      </c>
      <c r="H401">
        <v>3</v>
      </c>
      <c r="I401">
        <v>6.17</v>
      </c>
      <c r="J401">
        <v>6.5</v>
      </c>
      <c r="K401">
        <v>14</v>
      </c>
      <c r="L401" s="1">
        <v>6</v>
      </c>
      <c r="M401" t="s">
        <v>42</v>
      </c>
      <c r="N401" s="1" t="s">
        <v>233</v>
      </c>
      <c r="O401">
        <f>L401/N401</f>
        <v>1.5</v>
      </c>
      <c r="P401" s="1">
        <v>103</v>
      </c>
      <c r="Q401" s="1">
        <f>L401-N401</f>
        <v>2</v>
      </c>
      <c r="R401" s="1">
        <v>105</v>
      </c>
      <c r="S401">
        <f>SUM(P401,R401)</f>
        <v>208</v>
      </c>
    </row>
    <row r="402" spans="1:19" x14ac:dyDescent="0.45">
      <c r="A402">
        <v>2832</v>
      </c>
      <c r="B402" t="s">
        <v>249</v>
      </c>
      <c r="C402" t="s">
        <v>15</v>
      </c>
      <c r="D402" t="s">
        <v>66</v>
      </c>
      <c r="E402">
        <v>29</v>
      </c>
      <c r="F402" t="s">
        <v>17</v>
      </c>
      <c r="G402" t="s">
        <v>63</v>
      </c>
      <c r="H402">
        <v>3</v>
      </c>
      <c r="I402">
        <v>5.83</v>
      </c>
      <c r="J402">
        <v>5.83</v>
      </c>
      <c r="K402">
        <v>14</v>
      </c>
      <c r="L402" s="1">
        <v>6</v>
      </c>
      <c r="M402" t="s">
        <v>23</v>
      </c>
      <c r="N402" s="1" t="s">
        <v>233</v>
      </c>
      <c r="O402">
        <f>L402/N402</f>
        <v>1.5</v>
      </c>
      <c r="P402" s="1">
        <v>106</v>
      </c>
      <c r="Q402" s="1">
        <f>L402-N402</f>
        <v>2</v>
      </c>
      <c r="R402" s="1">
        <v>106</v>
      </c>
      <c r="S402">
        <f>SUM(P402,R402)</f>
        <v>212</v>
      </c>
    </row>
    <row r="403" spans="1:19" x14ac:dyDescent="0.45">
      <c r="A403">
        <v>5365</v>
      </c>
      <c r="B403" t="s">
        <v>327</v>
      </c>
      <c r="C403" t="s">
        <v>15</v>
      </c>
      <c r="D403" t="s">
        <v>123</v>
      </c>
      <c r="E403">
        <v>24</v>
      </c>
      <c r="F403" t="s">
        <v>37</v>
      </c>
      <c r="G403" t="s">
        <v>141</v>
      </c>
      <c r="H403">
        <v>4</v>
      </c>
      <c r="I403">
        <v>5</v>
      </c>
      <c r="J403">
        <v>5.12</v>
      </c>
      <c r="K403">
        <v>10</v>
      </c>
      <c r="L403" s="1">
        <v>7</v>
      </c>
      <c r="M403" t="s">
        <v>90</v>
      </c>
      <c r="N403" s="1" t="s">
        <v>112</v>
      </c>
      <c r="O403">
        <f>L403/N403</f>
        <v>1.4</v>
      </c>
      <c r="P403" s="1">
        <v>107</v>
      </c>
      <c r="Q403" s="1">
        <f>L403-N403</f>
        <v>2</v>
      </c>
      <c r="R403" s="1">
        <v>107</v>
      </c>
      <c r="S403">
        <f>SUM(P403,R403)</f>
        <v>214</v>
      </c>
    </row>
    <row r="404" spans="1:19" x14ac:dyDescent="0.45">
      <c r="A404">
        <v>7469</v>
      </c>
      <c r="B404" t="s">
        <v>373</v>
      </c>
      <c r="C404" t="s">
        <v>15</v>
      </c>
      <c r="D404" t="s">
        <v>148</v>
      </c>
      <c r="E404">
        <v>23</v>
      </c>
      <c r="F404" t="s">
        <v>37</v>
      </c>
      <c r="G404" t="s">
        <v>248</v>
      </c>
      <c r="H404">
        <v>3</v>
      </c>
      <c r="I404">
        <v>6.5</v>
      </c>
      <c r="J404">
        <v>7.67</v>
      </c>
      <c r="K404">
        <v>8</v>
      </c>
      <c r="L404" s="1">
        <v>8</v>
      </c>
      <c r="M404" t="s">
        <v>56</v>
      </c>
      <c r="N404" s="1" t="s">
        <v>116</v>
      </c>
      <c r="O404">
        <f>L404/N404</f>
        <v>1.3333333333333333</v>
      </c>
      <c r="P404" s="1">
        <v>108</v>
      </c>
      <c r="Q404" s="1">
        <f>L404-N404</f>
        <v>2</v>
      </c>
      <c r="R404" s="1">
        <v>108</v>
      </c>
      <c r="S404">
        <f>SUM(P404,R404)</f>
        <v>216</v>
      </c>
    </row>
    <row r="405" spans="1:19" x14ac:dyDescent="0.45">
      <c r="A405">
        <v>5273</v>
      </c>
      <c r="B405" t="s">
        <v>424</v>
      </c>
      <c r="C405" t="s">
        <v>15</v>
      </c>
      <c r="D405" t="s">
        <v>45</v>
      </c>
      <c r="E405">
        <v>28</v>
      </c>
      <c r="F405" t="s">
        <v>37</v>
      </c>
      <c r="G405" t="s">
        <v>255</v>
      </c>
      <c r="H405">
        <v>2</v>
      </c>
      <c r="I405">
        <v>6</v>
      </c>
      <c r="J405">
        <v>5.75</v>
      </c>
      <c r="K405">
        <v>7</v>
      </c>
      <c r="L405" s="1">
        <v>3</v>
      </c>
      <c r="M405" t="s">
        <v>56</v>
      </c>
      <c r="N405" s="1" t="s">
        <v>30</v>
      </c>
      <c r="O405">
        <f>L405/N405</f>
        <v>1.5</v>
      </c>
      <c r="P405" s="1">
        <v>104</v>
      </c>
      <c r="Q405" s="1">
        <f>L405-N405</f>
        <v>1</v>
      </c>
      <c r="R405" s="1">
        <v>113</v>
      </c>
      <c r="S405">
        <f>SUM(P405,R405)</f>
        <v>217</v>
      </c>
    </row>
    <row r="406" spans="1:19" x14ac:dyDescent="0.45">
      <c r="A406">
        <v>6344</v>
      </c>
      <c r="B406" t="s">
        <v>384</v>
      </c>
      <c r="C406" t="s">
        <v>15</v>
      </c>
      <c r="D406" t="s">
        <v>32</v>
      </c>
      <c r="E406">
        <v>29</v>
      </c>
      <c r="F406" t="s">
        <v>108</v>
      </c>
      <c r="G406" t="s">
        <v>109</v>
      </c>
      <c r="H406">
        <v>0</v>
      </c>
      <c r="I406">
        <v>0</v>
      </c>
      <c r="J406">
        <v>0</v>
      </c>
      <c r="K406">
        <v>8</v>
      </c>
      <c r="L406" s="1">
        <v>8</v>
      </c>
      <c r="M406" t="s">
        <v>69</v>
      </c>
      <c r="N406" s="1" t="s">
        <v>116</v>
      </c>
      <c r="O406">
        <f>L406/N406</f>
        <v>1.3333333333333333</v>
      </c>
      <c r="P406" s="1">
        <v>110</v>
      </c>
      <c r="Q406" s="1">
        <f>L406-N406</f>
        <v>2</v>
      </c>
      <c r="R406" s="1">
        <v>109</v>
      </c>
      <c r="S406">
        <f>SUM(P406,R406)</f>
        <v>219</v>
      </c>
    </row>
    <row r="407" spans="1:19" x14ac:dyDescent="0.45">
      <c r="A407">
        <v>7012</v>
      </c>
      <c r="B407" t="s">
        <v>414</v>
      </c>
      <c r="C407" t="s">
        <v>15</v>
      </c>
      <c r="D407" t="s">
        <v>77</v>
      </c>
      <c r="E407">
        <v>23</v>
      </c>
      <c r="F407" t="s">
        <v>37</v>
      </c>
      <c r="G407" t="s">
        <v>141</v>
      </c>
      <c r="H407">
        <v>3</v>
      </c>
      <c r="I407">
        <v>5.83</v>
      </c>
      <c r="J407">
        <v>5.67</v>
      </c>
      <c r="K407">
        <v>7</v>
      </c>
      <c r="L407" s="1">
        <v>4</v>
      </c>
      <c r="M407" t="s">
        <v>19</v>
      </c>
      <c r="N407" s="1" t="s">
        <v>114</v>
      </c>
      <c r="O407">
        <f>L407/N407</f>
        <v>1.3333333333333333</v>
      </c>
      <c r="P407" s="1">
        <v>109</v>
      </c>
      <c r="Q407" s="1">
        <f>L407-N407</f>
        <v>1</v>
      </c>
      <c r="R407" s="1">
        <v>114</v>
      </c>
      <c r="S407">
        <f>SUM(P407,R407)</f>
        <v>223</v>
      </c>
    </row>
    <row r="408" spans="1:19" x14ac:dyDescent="0.45">
      <c r="A408">
        <v>5641</v>
      </c>
      <c r="B408" t="s">
        <v>239</v>
      </c>
      <c r="C408" t="s">
        <v>15</v>
      </c>
      <c r="D408" t="s">
        <v>32</v>
      </c>
      <c r="E408">
        <v>27</v>
      </c>
      <c r="F408" t="s">
        <v>37</v>
      </c>
      <c r="G408" t="s">
        <v>178</v>
      </c>
      <c r="H408">
        <v>3</v>
      </c>
      <c r="I408">
        <v>6.33</v>
      </c>
      <c r="J408">
        <v>6.33</v>
      </c>
      <c r="K408">
        <v>16</v>
      </c>
      <c r="L408" s="1">
        <v>10</v>
      </c>
      <c r="M408" t="s">
        <v>50</v>
      </c>
      <c r="N408" s="1" t="s">
        <v>164</v>
      </c>
      <c r="O408">
        <f>L408/N408</f>
        <v>1.25</v>
      </c>
      <c r="P408" s="1">
        <v>115</v>
      </c>
      <c r="Q408" s="1">
        <f>L408-N408</f>
        <v>2</v>
      </c>
      <c r="R408" s="1">
        <v>110</v>
      </c>
      <c r="S408">
        <f>SUM(P408,R408)</f>
        <v>225</v>
      </c>
    </row>
    <row r="409" spans="1:19" x14ac:dyDescent="0.45">
      <c r="A409">
        <v>6145</v>
      </c>
      <c r="B409" t="s">
        <v>388</v>
      </c>
      <c r="C409" t="s">
        <v>15</v>
      </c>
      <c r="D409" t="s">
        <v>211</v>
      </c>
      <c r="E409">
        <v>26</v>
      </c>
      <c r="F409" t="s">
        <v>17</v>
      </c>
      <c r="G409" t="s">
        <v>17</v>
      </c>
      <c r="H409">
        <v>0</v>
      </c>
      <c r="I409">
        <v>0</v>
      </c>
      <c r="J409">
        <v>0</v>
      </c>
      <c r="K409">
        <v>7</v>
      </c>
      <c r="L409" s="1">
        <v>4</v>
      </c>
      <c r="M409" t="s">
        <v>69</v>
      </c>
      <c r="N409" s="1" t="s">
        <v>114</v>
      </c>
      <c r="O409">
        <f>L409/N409</f>
        <v>1.3333333333333333</v>
      </c>
      <c r="P409" s="1">
        <v>111</v>
      </c>
      <c r="Q409" s="1">
        <f>L409-N409</f>
        <v>1</v>
      </c>
      <c r="R409" s="1">
        <v>115</v>
      </c>
      <c r="S409">
        <f>SUM(P409,R409)</f>
        <v>226</v>
      </c>
    </row>
    <row r="410" spans="1:19" x14ac:dyDescent="0.45">
      <c r="A410">
        <v>5336</v>
      </c>
      <c r="B410" t="s">
        <v>500</v>
      </c>
      <c r="C410" t="s">
        <v>15</v>
      </c>
      <c r="D410" t="s">
        <v>242</v>
      </c>
      <c r="E410">
        <v>30</v>
      </c>
      <c r="F410" t="s">
        <v>17</v>
      </c>
      <c r="G410" t="s">
        <v>18</v>
      </c>
      <c r="H410">
        <v>0</v>
      </c>
      <c r="I410">
        <v>0</v>
      </c>
      <c r="J410">
        <v>0</v>
      </c>
      <c r="K410">
        <v>5</v>
      </c>
      <c r="L410" s="1">
        <v>4</v>
      </c>
      <c r="M410" t="s">
        <v>56</v>
      </c>
      <c r="N410" s="1" t="s">
        <v>114</v>
      </c>
      <c r="O410">
        <f>L410/N410</f>
        <v>1.3333333333333333</v>
      </c>
      <c r="P410" s="1">
        <v>112</v>
      </c>
      <c r="Q410" s="1">
        <f>L410-N410</f>
        <v>1</v>
      </c>
      <c r="R410" s="1">
        <v>116</v>
      </c>
      <c r="S410">
        <f>SUM(P410,R410)</f>
        <v>228</v>
      </c>
    </row>
    <row r="411" spans="1:19" x14ac:dyDescent="0.45">
      <c r="A411">
        <v>5739</v>
      </c>
      <c r="B411" t="s">
        <v>269</v>
      </c>
      <c r="C411" t="s">
        <v>15</v>
      </c>
      <c r="D411" t="s">
        <v>45</v>
      </c>
      <c r="E411">
        <v>24</v>
      </c>
      <c r="F411" t="s">
        <v>37</v>
      </c>
      <c r="G411" t="s">
        <v>178</v>
      </c>
      <c r="H411">
        <v>3</v>
      </c>
      <c r="I411">
        <v>6.67</v>
      </c>
      <c r="J411">
        <v>6.5</v>
      </c>
      <c r="K411">
        <v>13</v>
      </c>
      <c r="L411" s="1">
        <v>5</v>
      </c>
      <c r="M411" t="s">
        <v>42</v>
      </c>
      <c r="N411" s="1" t="s">
        <v>233</v>
      </c>
      <c r="O411">
        <f>L411/N411</f>
        <v>1.25</v>
      </c>
      <c r="P411" s="1">
        <v>114</v>
      </c>
      <c r="Q411" s="1">
        <f>L411-N411</f>
        <v>1</v>
      </c>
      <c r="R411" s="1">
        <v>117</v>
      </c>
      <c r="S411">
        <f>SUM(P411,R411)</f>
        <v>231</v>
      </c>
    </row>
    <row r="412" spans="1:19" x14ac:dyDescent="0.45">
      <c r="A412">
        <v>2517</v>
      </c>
      <c r="B412" t="s">
        <v>89</v>
      </c>
      <c r="C412" t="s">
        <v>15</v>
      </c>
      <c r="D412" t="s">
        <v>26</v>
      </c>
      <c r="E412">
        <v>35</v>
      </c>
      <c r="F412" t="s">
        <v>33</v>
      </c>
      <c r="G412" t="s">
        <v>59</v>
      </c>
      <c r="H412">
        <v>3</v>
      </c>
      <c r="I412">
        <v>6.67</v>
      </c>
      <c r="J412">
        <v>8</v>
      </c>
      <c r="K412">
        <v>52</v>
      </c>
      <c r="L412" s="1">
        <v>17</v>
      </c>
      <c r="M412" t="s">
        <v>90</v>
      </c>
      <c r="N412" s="1" t="s">
        <v>91</v>
      </c>
      <c r="O412">
        <f>L412/N412</f>
        <v>1.1333333333333333</v>
      </c>
      <c r="P412" s="1">
        <v>123</v>
      </c>
      <c r="Q412" s="1">
        <f>L412-N412</f>
        <v>2</v>
      </c>
      <c r="R412" s="1">
        <v>111</v>
      </c>
      <c r="S412">
        <f>SUM(P412,R412)</f>
        <v>234</v>
      </c>
    </row>
    <row r="413" spans="1:19" x14ac:dyDescent="0.45">
      <c r="A413">
        <v>6556</v>
      </c>
      <c r="B413" t="s">
        <v>547</v>
      </c>
      <c r="C413" t="s">
        <v>15</v>
      </c>
      <c r="D413" t="s">
        <v>77</v>
      </c>
      <c r="E413">
        <v>27</v>
      </c>
      <c r="F413" t="s">
        <v>17</v>
      </c>
      <c r="G413" t="s">
        <v>17</v>
      </c>
      <c r="H413">
        <v>1</v>
      </c>
      <c r="I413">
        <v>6</v>
      </c>
      <c r="J413">
        <v>6</v>
      </c>
      <c r="K413">
        <v>4</v>
      </c>
      <c r="L413" s="1">
        <v>6</v>
      </c>
      <c r="M413" t="s">
        <v>46</v>
      </c>
      <c r="N413" s="1" t="s">
        <v>112</v>
      </c>
      <c r="O413">
        <f>L413/N413</f>
        <v>1.2</v>
      </c>
      <c r="P413" s="1">
        <v>116</v>
      </c>
      <c r="Q413" s="1">
        <f>L413-N413</f>
        <v>1</v>
      </c>
      <c r="R413" s="1">
        <v>118</v>
      </c>
      <c r="S413">
        <f>SUM(P413,R413)</f>
        <v>234</v>
      </c>
    </row>
    <row r="414" spans="1:19" x14ac:dyDescent="0.45">
      <c r="A414">
        <v>5678</v>
      </c>
      <c r="B414" t="s">
        <v>423</v>
      </c>
      <c r="C414" t="s">
        <v>15</v>
      </c>
      <c r="D414" t="s">
        <v>62</v>
      </c>
      <c r="E414">
        <v>26</v>
      </c>
      <c r="F414" t="s">
        <v>37</v>
      </c>
      <c r="G414" t="s">
        <v>208</v>
      </c>
      <c r="H414">
        <v>3</v>
      </c>
      <c r="I414">
        <v>6.17</v>
      </c>
      <c r="J414">
        <v>6</v>
      </c>
      <c r="K414">
        <v>7</v>
      </c>
      <c r="L414" s="1">
        <v>6</v>
      </c>
      <c r="M414" t="s">
        <v>90</v>
      </c>
      <c r="N414" s="1" t="s">
        <v>112</v>
      </c>
      <c r="O414">
        <f>L414/N414</f>
        <v>1.2</v>
      </c>
      <c r="P414" s="1">
        <v>117</v>
      </c>
      <c r="Q414" s="1">
        <f>L414-N414</f>
        <v>1</v>
      </c>
      <c r="R414" s="1">
        <v>119</v>
      </c>
      <c r="S414">
        <f>SUM(P414,R414)</f>
        <v>236</v>
      </c>
    </row>
    <row r="415" spans="1:19" x14ac:dyDescent="0.45">
      <c r="A415">
        <v>4998</v>
      </c>
      <c r="B415" t="s">
        <v>125</v>
      </c>
      <c r="C415" t="s">
        <v>15</v>
      </c>
      <c r="D415" t="s">
        <v>16</v>
      </c>
      <c r="E415">
        <v>28</v>
      </c>
      <c r="F415" t="s">
        <v>37</v>
      </c>
      <c r="G415" t="s">
        <v>99</v>
      </c>
      <c r="H415">
        <v>2</v>
      </c>
      <c r="I415">
        <v>6</v>
      </c>
      <c r="J415">
        <v>6</v>
      </c>
      <c r="K415">
        <v>36</v>
      </c>
      <c r="L415" s="1">
        <v>18</v>
      </c>
      <c r="M415" t="s">
        <v>50</v>
      </c>
      <c r="N415" s="1" t="s">
        <v>126</v>
      </c>
      <c r="O415">
        <f>L415/N415</f>
        <v>1.125</v>
      </c>
      <c r="P415" s="1">
        <v>126</v>
      </c>
      <c r="Q415" s="1">
        <f>L415-N415</f>
        <v>2</v>
      </c>
      <c r="R415" s="1">
        <v>112</v>
      </c>
      <c r="S415">
        <f>SUM(P415,R415)</f>
        <v>238</v>
      </c>
    </row>
    <row r="416" spans="1:19" x14ac:dyDescent="0.45">
      <c r="A416">
        <v>7485</v>
      </c>
      <c r="B416" t="s">
        <v>372</v>
      </c>
      <c r="C416" t="s">
        <v>15</v>
      </c>
      <c r="D416" t="s">
        <v>211</v>
      </c>
      <c r="E416">
        <v>28</v>
      </c>
      <c r="F416" t="s">
        <v>37</v>
      </c>
      <c r="G416" t="s">
        <v>255</v>
      </c>
      <c r="H416">
        <v>3</v>
      </c>
      <c r="I416">
        <v>6</v>
      </c>
      <c r="J416">
        <v>6.67</v>
      </c>
      <c r="K416">
        <v>8</v>
      </c>
      <c r="L416" s="1">
        <v>7</v>
      </c>
      <c r="M416" t="s">
        <v>42</v>
      </c>
      <c r="N416" s="1" t="s">
        <v>116</v>
      </c>
      <c r="O416">
        <f>L416/N416</f>
        <v>1.1666666666666667</v>
      </c>
      <c r="P416" s="1">
        <v>118</v>
      </c>
      <c r="Q416" s="1">
        <f>L416-N416</f>
        <v>1</v>
      </c>
      <c r="R416" s="1">
        <v>120</v>
      </c>
      <c r="S416">
        <f>SUM(P416,R416)</f>
        <v>238</v>
      </c>
    </row>
    <row r="417" spans="1:19" x14ac:dyDescent="0.45">
      <c r="A417">
        <v>6677</v>
      </c>
      <c r="B417" t="s">
        <v>358</v>
      </c>
      <c r="C417" t="s">
        <v>15</v>
      </c>
      <c r="D417" t="s">
        <v>85</v>
      </c>
      <c r="E417">
        <v>20</v>
      </c>
      <c r="F417" t="s">
        <v>33</v>
      </c>
      <c r="G417" t="s">
        <v>49</v>
      </c>
      <c r="H417">
        <v>3</v>
      </c>
      <c r="I417">
        <v>6.33</v>
      </c>
      <c r="J417">
        <v>7.67</v>
      </c>
      <c r="K417">
        <v>8</v>
      </c>
      <c r="L417" s="1">
        <v>7</v>
      </c>
      <c r="M417" t="s">
        <v>56</v>
      </c>
      <c r="N417" s="1" t="s">
        <v>116</v>
      </c>
      <c r="O417">
        <f>L417/N417</f>
        <v>1.1666666666666667</v>
      </c>
      <c r="P417" s="1">
        <v>119</v>
      </c>
      <c r="Q417" s="1">
        <f>L417-N417</f>
        <v>1</v>
      </c>
      <c r="R417" s="1">
        <v>121</v>
      </c>
      <c r="S417">
        <f>SUM(P417,R417)</f>
        <v>240</v>
      </c>
    </row>
    <row r="418" spans="1:19" x14ac:dyDescent="0.45">
      <c r="A418">
        <v>6642</v>
      </c>
      <c r="B418" t="s">
        <v>419</v>
      </c>
      <c r="C418" t="s">
        <v>15</v>
      </c>
      <c r="D418" t="s">
        <v>121</v>
      </c>
      <c r="E418">
        <v>27</v>
      </c>
      <c r="F418" t="s">
        <v>37</v>
      </c>
      <c r="G418" t="s">
        <v>141</v>
      </c>
      <c r="H418">
        <v>3</v>
      </c>
      <c r="I418">
        <v>5.83</v>
      </c>
      <c r="J418">
        <v>5.83</v>
      </c>
      <c r="K418">
        <v>7</v>
      </c>
      <c r="L418" s="1">
        <v>7</v>
      </c>
      <c r="M418" t="s">
        <v>82</v>
      </c>
      <c r="N418" s="1" t="s">
        <v>116</v>
      </c>
      <c r="O418">
        <f>L418/N418</f>
        <v>1.1666666666666667</v>
      </c>
      <c r="P418" s="1">
        <v>120</v>
      </c>
      <c r="Q418" s="1">
        <f>L418-N418</f>
        <v>1</v>
      </c>
      <c r="R418" s="1">
        <v>122</v>
      </c>
      <c r="S418">
        <f>SUM(P418,R418)</f>
        <v>242</v>
      </c>
    </row>
    <row r="419" spans="1:19" x14ac:dyDescent="0.45">
      <c r="A419">
        <v>5422</v>
      </c>
      <c r="B419" t="s">
        <v>345</v>
      </c>
      <c r="C419" t="s">
        <v>15</v>
      </c>
      <c r="D419" t="s">
        <v>93</v>
      </c>
      <c r="E419">
        <v>24</v>
      </c>
      <c r="F419" t="s">
        <v>33</v>
      </c>
      <c r="G419" t="s">
        <v>202</v>
      </c>
      <c r="H419">
        <v>3</v>
      </c>
      <c r="I419">
        <v>6</v>
      </c>
      <c r="J419">
        <v>6.33</v>
      </c>
      <c r="K419">
        <v>9</v>
      </c>
      <c r="L419" s="1">
        <v>7</v>
      </c>
      <c r="M419" t="s">
        <v>72</v>
      </c>
      <c r="N419" s="1" t="s">
        <v>116</v>
      </c>
      <c r="O419">
        <f>L419/N419</f>
        <v>1.1666666666666667</v>
      </c>
      <c r="P419" s="1">
        <v>121</v>
      </c>
      <c r="Q419" s="1">
        <f>L419-N419</f>
        <v>1</v>
      </c>
      <c r="R419" s="1">
        <v>123</v>
      </c>
      <c r="S419">
        <f>SUM(P419,R419)</f>
        <v>244</v>
      </c>
    </row>
    <row r="420" spans="1:19" x14ac:dyDescent="0.45">
      <c r="A420">
        <v>4364</v>
      </c>
      <c r="B420" t="s">
        <v>245</v>
      </c>
      <c r="C420" t="s">
        <v>15</v>
      </c>
      <c r="D420" t="s">
        <v>93</v>
      </c>
      <c r="E420">
        <v>26</v>
      </c>
      <c r="F420" t="s">
        <v>33</v>
      </c>
      <c r="G420" t="s">
        <v>41</v>
      </c>
      <c r="H420">
        <v>3</v>
      </c>
      <c r="I420">
        <v>5.67</v>
      </c>
      <c r="J420">
        <v>5.67</v>
      </c>
      <c r="K420">
        <v>15</v>
      </c>
      <c r="L420" s="1">
        <v>7</v>
      </c>
      <c r="M420" t="s">
        <v>42</v>
      </c>
      <c r="N420" s="1" t="s">
        <v>116</v>
      </c>
      <c r="O420">
        <f>L420/N420</f>
        <v>1.1666666666666667</v>
      </c>
      <c r="P420" s="1">
        <v>122</v>
      </c>
      <c r="Q420" s="1">
        <f>L420-N420</f>
        <v>1</v>
      </c>
      <c r="R420" s="1">
        <v>124</v>
      </c>
      <c r="S420">
        <f>SUM(P420,R420)</f>
        <v>246</v>
      </c>
    </row>
    <row r="421" spans="1:19" x14ac:dyDescent="0.45">
      <c r="A421">
        <v>6727</v>
      </c>
      <c r="B421" t="s">
        <v>236</v>
      </c>
      <c r="C421" t="s">
        <v>15</v>
      </c>
      <c r="D421" t="s">
        <v>32</v>
      </c>
      <c r="E421">
        <v>24</v>
      </c>
      <c r="F421" t="s">
        <v>37</v>
      </c>
      <c r="G421" t="s">
        <v>208</v>
      </c>
      <c r="H421">
        <v>3</v>
      </c>
      <c r="I421">
        <v>6</v>
      </c>
      <c r="J421">
        <v>6.33</v>
      </c>
      <c r="K421">
        <v>16</v>
      </c>
      <c r="L421" s="1">
        <v>9</v>
      </c>
      <c r="M421" t="s">
        <v>56</v>
      </c>
      <c r="N421" s="1" t="s">
        <v>164</v>
      </c>
      <c r="O421">
        <f>L421/N421</f>
        <v>1.125</v>
      </c>
      <c r="P421" s="1">
        <v>124</v>
      </c>
      <c r="Q421" s="1">
        <f>L421-N421</f>
        <v>1</v>
      </c>
      <c r="R421" s="1">
        <v>125</v>
      </c>
      <c r="S421">
        <f>SUM(P421,R421)</f>
        <v>249</v>
      </c>
    </row>
    <row r="422" spans="1:19" x14ac:dyDescent="0.45">
      <c r="A422">
        <v>5888</v>
      </c>
      <c r="B422" t="s">
        <v>279</v>
      </c>
      <c r="C422" t="s">
        <v>15</v>
      </c>
      <c r="D422" t="s">
        <v>121</v>
      </c>
      <c r="E422">
        <v>23</v>
      </c>
      <c r="F422" t="s">
        <v>33</v>
      </c>
      <c r="G422" t="s">
        <v>49</v>
      </c>
      <c r="H422">
        <v>1</v>
      </c>
      <c r="I422">
        <v>5</v>
      </c>
      <c r="J422">
        <v>5</v>
      </c>
      <c r="K422">
        <v>12</v>
      </c>
      <c r="L422" s="1">
        <v>9</v>
      </c>
      <c r="M422" t="s">
        <v>23</v>
      </c>
      <c r="N422" s="1" t="s">
        <v>164</v>
      </c>
      <c r="O422">
        <f>L422/N422</f>
        <v>1.125</v>
      </c>
      <c r="P422" s="1">
        <v>125</v>
      </c>
      <c r="Q422" s="1">
        <f>L422-N422</f>
        <v>1</v>
      </c>
      <c r="R422" s="1">
        <v>126</v>
      </c>
      <c r="S422">
        <f>SUM(P422,R422)</f>
        <v>251</v>
      </c>
    </row>
    <row r="423" spans="1:19" x14ac:dyDescent="0.45">
      <c r="A423">
        <v>4734</v>
      </c>
      <c r="B423" t="s">
        <v>272</v>
      </c>
      <c r="C423" t="s">
        <v>15</v>
      </c>
      <c r="D423" t="s">
        <v>62</v>
      </c>
      <c r="E423">
        <v>26</v>
      </c>
      <c r="F423" t="s">
        <v>37</v>
      </c>
      <c r="G423" t="s">
        <v>255</v>
      </c>
      <c r="H423">
        <v>2</v>
      </c>
      <c r="I423">
        <v>6.25</v>
      </c>
      <c r="J423">
        <v>6.75</v>
      </c>
      <c r="K423">
        <v>13</v>
      </c>
      <c r="L423" s="1">
        <v>9</v>
      </c>
      <c r="M423" t="s">
        <v>46</v>
      </c>
      <c r="N423" s="1" t="s">
        <v>164</v>
      </c>
      <c r="O423">
        <f>L423/N423</f>
        <v>1.125</v>
      </c>
      <c r="P423" s="1">
        <v>127</v>
      </c>
      <c r="Q423" s="1">
        <f>L423-N423</f>
        <v>1</v>
      </c>
      <c r="R423" s="1">
        <v>127</v>
      </c>
      <c r="S423">
        <f>SUM(P423,R423)</f>
        <v>254</v>
      </c>
    </row>
    <row r="424" spans="1:19" x14ac:dyDescent="0.45">
      <c r="A424">
        <v>5823</v>
      </c>
      <c r="B424" t="s">
        <v>281</v>
      </c>
      <c r="C424" t="s">
        <v>15</v>
      </c>
      <c r="D424" t="s">
        <v>151</v>
      </c>
      <c r="E424">
        <v>23</v>
      </c>
      <c r="F424" t="s">
        <v>33</v>
      </c>
      <c r="G424" t="s">
        <v>59</v>
      </c>
      <c r="H424">
        <v>3</v>
      </c>
      <c r="I424">
        <v>5.83</v>
      </c>
      <c r="J424">
        <v>5.83</v>
      </c>
      <c r="K424">
        <v>12</v>
      </c>
      <c r="L424" s="1">
        <v>11</v>
      </c>
      <c r="M424" t="s">
        <v>69</v>
      </c>
      <c r="N424" s="1" t="s">
        <v>152</v>
      </c>
      <c r="O424">
        <f>L424/N424</f>
        <v>1.1000000000000001</v>
      </c>
      <c r="P424" s="1">
        <v>128</v>
      </c>
      <c r="Q424" s="1">
        <f>L424-N424</f>
        <v>1</v>
      </c>
      <c r="R424" s="1">
        <v>128</v>
      </c>
      <c r="S424">
        <f>SUM(P424,R424)</f>
        <v>256</v>
      </c>
    </row>
    <row r="425" spans="1:19" x14ac:dyDescent="0.45">
      <c r="A425">
        <v>4923</v>
      </c>
      <c r="B425" t="s">
        <v>150</v>
      </c>
      <c r="C425" t="s">
        <v>15</v>
      </c>
      <c r="D425" t="s">
        <v>151</v>
      </c>
      <c r="E425">
        <v>24</v>
      </c>
      <c r="F425" t="s">
        <v>17</v>
      </c>
      <c r="G425" t="s">
        <v>18</v>
      </c>
      <c r="H425">
        <v>3</v>
      </c>
      <c r="I425">
        <v>6</v>
      </c>
      <c r="J425">
        <v>6.33</v>
      </c>
      <c r="K425">
        <v>28</v>
      </c>
      <c r="L425" s="1">
        <v>11</v>
      </c>
      <c r="M425" t="s">
        <v>42</v>
      </c>
      <c r="N425" s="1" t="s">
        <v>152</v>
      </c>
      <c r="O425">
        <f>L425/N425</f>
        <v>1.1000000000000001</v>
      </c>
      <c r="P425" s="1">
        <v>129</v>
      </c>
      <c r="Q425" s="1">
        <f>L425-N425</f>
        <v>1</v>
      </c>
      <c r="R425" s="1">
        <v>129</v>
      </c>
      <c r="S425">
        <f>SUM(P425,R425)</f>
        <v>258</v>
      </c>
    </row>
    <row r="426" spans="1:19" x14ac:dyDescent="0.45">
      <c r="A426">
        <v>7622</v>
      </c>
      <c r="B426" t="s">
        <v>649</v>
      </c>
      <c r="C426" t="s">
        <v>15</v>
      </c>
      <c r="D426" t="s">
        <v>151</v>
      </c>
      <c r="E426">
        <v>19</v>
      </c>
      <c r="F426" t="s">
        <v>17</v>
      </c>
      <c r="G426" t="s">
        <v>17</v>
      </c>
      <c r="H426">
        <v>0</v>
      </c>
      <c r="I426">
        <v>0</v>
      </c>
      <c r="J426">
        <v>0</v>
      </c>
      <c r="K426">
        <v>1</v>
      </c>
      <c r="L426" s="1">
        <v>1</v>
      </c>
      <c r="M426" t="s">
        <v>53</v>
      </c>
      <c r="N426" s="1" t="s">
        <v>102</v>
      </c>
      <c r="O426">
        <f>L426/N426</f>
        <v>1</v>
      </c>
      <c r="P426" s="1">
        <v>130</v>
      </c>
      <c r="Q426" s="1">
        <f>L426-N426</f>
        <v>0</v>
      </c>
      <c r="R426" s="1">
        <v>130</v>
      </c>
      <c r="S426">
        <f>SUM(P426,R426)</f>
        <v>260</v>
      </c>
    </row>
    <row r="427" spans="1:19" x14ac:dyDescent="0.45">
      <c r="A427">
        <v>7475</v>
      </c>
      <c r="B427" t="s">
        <v>699</v>
      </c>
      <c r="C427" t="s">
        <v>15</v>
      </c>
      <c r="D427" t="s">
        <v>211</v>
      </c>
      <c r="E427">
        <v>19</v>
      </c>
      <c r="F427" t="s">
        <v>108</v>
      </c>
      <c r="G427" t="s">
        <v>109</v>
      </c>
      <c r="H427">
        <v>0</v>
      </c>
      <c r="I427">
        <v>0</v>
      </c>
      <c r="J427">
        <v>0</v>
      </c>
      <c r="K427">
        <v>1</v>
      </c>
      <c r="L427" s="1">
        <v>1</v>
      </c>
      <c r="M427" t="s">
        <v>90</v>
      </c>
      <c r="N427" s="1" t="s">
        <v>102</v>
      </c>
      <c r="O427">
        <f>L427/N427</f>
        <v>1</v>
      </c>
      <c r="P427" s="1">
        <v>131</v>
      </c>
      <c r="Q427" s="1">
        <f>L427-N427</f>
        <v>0</v>
      </c>
      <c r="R427" s="1">
        <v>131</v>
      </c>
      <c r="S427">
        <f>SUM(P427,R427)</f>
        <v>262</v>
      </c>
    </row>
    <row r="428" spans="1:19" x14ac:dyDescent="0.45">
      <c r="A428">
        <v>7457</v>
      </c>
      <c r="B428" t="s">
        <v>612</v>
      </c>
      <c r="C428" t="s">
        <v>15</v>
      </c>
      <c r="D428" t="s">
        <v>121</v>
      </c>
      <c r="E428">
        <v>20</v>
      </c>
      <c r="F428" t="s">
        <v>108</v>
      </c>
      <c r="G428" t="s">
        <v>109</v>
      </c>
      <c r="H428">
        <v>2</v>
      </c>
      <c r="I428">
        <v>5.75</v>
      </c>
      <c r="J428">
        <v>3.75</v>
      </c>
      <c r="K428">
        <v>3</v>
      </c>
      <c r="L428" s="1">
        <v>1</v>
      </c>
      <c r="M428" t="s">
        <v>46</v>
      </c>
      <c r="N428" s="1" t="s">
        <v>102</v>
      </c>
      <c r="O428">
        <f>L428/N428</f>
        <v>1</v>
      </c>
      <c r="P428" s="1">
        <v>132</v>
      </c>
      <c r="Q428" s="1">
        <f>L428-N428</f>
        <v>0</v>
      </c>
      <c r="R428" s="1">
        <v>132</v>
      </c>
      <c r="S428">
        <f>SUM(P428,R428)</f>
        <v>264</v>
      </c>
    </row>
    <row r="429" spans="1:19" x14ac:dyDescent="0.45">
      <c r="A429">
        <v>7363</v>
      </c>
      <c r="B429" t="s">
        <v>702</v>
      </c>
      <c r="C429" t="s">
        <v>15</v>
      </c>
      <c r="D429" t="s">
        <v>121</v>
      </c>
      <c r="E429">
        <v>20</v>
      </c>
      <c r="F429" t="s">
        <v>108</v>
      </c>
      <c r="G429" t="s">
        <v>109</v>
      </c>
      <c r="H429">
        <v>0</v>
      </c>
      <c r="I429">
        <v>0</v>
      </c>
      <c r="J429">
        <v>0</v>
      </c>
      <c r="K429">
        <v>1</v>
      </c>
      <c r="L429" s="1">
        <v>1</v>
      </c>
      <c r="M429" t="s">
        <v>46</v>
      </c>
      <c r="N429" s="1" t="s">
        <v>102</v>
      </c>
      <c r="O429">
        <f>L429/N429</f>
        <v>1</v>
      </c>
      <c r="P429" s="1">
        <v>133</v>
      </c>
      <c r="Q429" s="1">
        <f>L429-N429</f>
        <v>0</v>
      </c>
      <c r="R429" s="1">
        <v>133</v>
      </c>
      <c r="S429">
        <f>SUM(P429,R429)</f>
        <v>266</v>
      </c>
    </row>
    <row r="430" spans="1:19" x14ac:dyDescent="0.45">
      <c r="A430">
        <v>7274</v>
      </c>
      <c r="B430" t="s">
        <v>409</v>
      </c>
      <c r="C430" t="s">
        <v>15</v>
      </c>
      <c r="D430" t="s">
        <v>242</v>
      </c>
      <c r="E430">
        <v>29</v>
      </c>
      <c r="F430" t="s">
        <v>37</v>
      </c>
      <c r="G430" t="s">
        <v>178</v>
      </c>
      <c r="H430">
        <v>3</v>
      </c>
      <c r="I430">
        <v>6</v>
      </c>
      <c r="J430">
        <v>5.83</v>
      </c>
      <c r="K430">
        <v>7</v>
      </c>
      <c r="L430" s="1">
        <v>6</v>
      </c>
      <c r="M430" t="s">
        <v>19</v>
      </c>
      <c r="N430" s="1" t="s">
        <v>116</v>
      </c>
      <c r="O430">
        <f>L430/N430</f>
        <v>1</v>
      </c>
      <c r="P430" s="1">
        <v>134</v>
      </c>
      <c r="Q430" s="1">
        <f>L430-N430</f>
        <v>0</v>
      </c>
      <c r="R430" s="1">
        <v>134</v>
      </c>
      <c r="S430">
        <f>SUM(P430,R430)</f>
        <v>268</v>
      </c>
    </row>
    <row r="431" spans="1:19" x14ac:dyDescent="0.45">
      <c r="A431">
        <v>6403</v>
      </c>
      <c r="B431" t="s">
        <v>712</v>
      </c>
      <c r="C431" t="s">
        <v>15</v>
      </c>
      <c r="D431" t="s">
        <v>123</v>
      </c>
      <c r="E431">
        <v>27</v>
      </c>
      <c r="F431" t="s">
        <v>108</v>
      </c>
      <c r="G431" t="s">
        <v>109</v>
      </c>
      <c r="H431">
        <v>0</v>
      </c>
      <c r="I431">
        <v>0</v>
      </c>
      <c r="J431">
        <v>0</v>
      </c>
      <c r="K431">
        <v>1</v>
      </c>
      <c r="L431" s="1">
        <v>1</v>
      </c>
      <c r="M431" t="s">
        <v>53</v>
      </c>
      <c r="N431" s="1" t="s">
        <v>102</v>
      </c>
      <c r="O431">
        <f>L431/N431</f>
        <v>1</v>
      </c>
      <c r="P431" s="1">
        <v>135</v>
      </c>
      <c r="Q431" s="1">
        <f>L431-N431</f>
        <v>0</v>
      </c>
      <c r="R431" s="1">
        <v>135</v>
      </c>
      <c r="S431">
        <f>SUM(P431,R431)</f>
        <v>270</v>
      </c>
    </row>
    <row r="432" spans="1:19" x14ac:dyDescent="0.45">
      <c r="A432">
        <v>6320</v>
      </c>
      <c r="B432" t="s">
        <v>377</v>
      </c>
      <c r="C432" t="s">
        <v>15</v>
      </c>
      <c r="D432" t="s">
        <v>77</v>
      </c>
      <c r="E432">
        <v>28</v>
      </c>
      <c r="F432" t="s">
        <v>37</v>
      </c>
      <c r="G432" t="s">
        <v>141</v>
      </c>
      <c r="H432">
        <v>3</v>
      </c>
      <c r="I432">
        <v>6.33</v>
      </c>
      <c r="J432">
        <v>6.67</v>
      </c>
      <c r="K432">
        <v>8</v>
      </c>
      <c r="L432" s="1">
        <v>8</v>
      </c>
      <c r="M432" t="s">
        <v>46</v>
      </c>
      <c r="N432" s="1" t="s">
        <v>164</v>
      </c>
      <c r="O432">
        <f>L432/N432</f>
        <v>1</v>
      </c>
      <c r="P432" s="1">
        <v>136</v>
      </c>
      <c r="Q432" s="1">
        <f>L432-N432</f>
        <v>0</v>
      </c>
      <c r="R432" s="1">
        <v>136</v>
      </c>
      <c r="S432">
        <f>SUM(P432,R432)</f>
        <v>272</v>
      </c>
    </row>
    <row r="433" spans="1:19" x14ac:dyDescent="0.45">
      <c r="A433">
        <v>4856</v>
      </c>
      <c r="B433" t="s">
        <v>315</v>
      </c>
      <c r="C433" t="s">
        <v>15</v>
      </c>
      <c r="D433" t="s">
        <v>45</v>
      </c>
      <c r="E433">
        <v>27</v>
      </c>
      <c r="F433" t="s">
        <v>33</v>
      </c>
      <c r="G433" t="s">
        <v>38</v>
      </c>
      <c r="H433">
        <v>3</v>
      </c>
      <c r="I433">
        <v>6.67</v>
      </c>
      <c r="J433">
        <v>7.33</v>
      </c>
      <c r="K433">
        <v>10</v>
      </c>
      <c r="L433" s="1">
        <v>8</v>
      </c>
      <c r="M433" t="s">
        <v>46</v>
      </c>
      <c r="N433" s="1" t="s">
        <v>164</v>
      </c>
      <c r="O433">
        <f>L433/N433</f>
        <v>1</v>
      </c>
      <c r="P433" s="1">
        <v>137</v>
      </c>
      <c r="Q433" s="1">
        <f>L433-N433</f>
        <v>0</v>
      </c>
      <c r="R433" s="1">
        <v>137</v>
      </c>
      <c r="S433">
        <f>SUM(P433,R433)</f>
        <v>274</v>
      </c>
    </row>
    <row r="434" spans="1:19" x14ac:dyDescent="0.45">
      <c r="A434">
        <v>2845</v>
      </c>
      <c r="B434" t="s">
        <v>721</v>
      </c>
      <c r="C434" t="s">
        <v>15</v>
      </c>
      <c r="D434" t="s">
        <v>26</v>
      </c>
      <c r="E434">
        <v>30</v>
      </c>
      <c r="F434" t="s">
        <v>108</v>
      </c>
      <c r="G434" t="s">
        <v>109</v>
      </c>
      <c r="H434">
        <v>0</v>
      </c>
      <c r="I434">
        <v>0</v>
      </c>
      <c r="J434">
        <v>0</v>
      </c>
      <c r="K434">
        <v>1</v>
      </c>
      <c r="L434" s="1">
        <v>1</v>
      </c>
      <c r="M434" t="s">
        <v>50</v>
      </c>
      <c r="N434" s="1" t="s">
        <v>102</v>
      </c>
      <c r="O434">
        <f>L434/N434</f>
        <v>1</v>
      </c>
      <c r="P434" s="1">
        <v>138</v>
      </c>
      <c r="Q434" s="1">
        <f>L434-N434</f>
        <v>0</v>
      </c>
      <c r="R434" s="1">
        <v>138</v>
      </c>
      <c r="S434">
        <f>SUM(P434,R434)</f>
        <v>276</v>
      </c>
    </row>
    <row r="435" spans="1:19" x14ac:dyDescent="0.45">
      <c r="A435">
        <v>1926</v>
      </c>
      <c r="B435" t="s">
        <v>728</v>
      </c>
      <c r="C435" t="s">
        <v>15</v>
      </c>
      <c r="D435" t="s">
        <v>22</v>
      </c>
      <c r="E435">
        <v>33</v>
      </c>
      <c r="F435" t="s">
        <v>108</v>
      </c>
      <c r="G435" t="s">
        <v>109</v>
      </c>
      <c r="H435">
        <v>0</v>
      </c>
      <c r="I435">
        <v>0</v>
      </c>
      <c r="J435">
        <v>0</v>
      </c>
      <c r="K435">
        <v>1</v>
      </c>
      <c r="L435" s="1">
        <v>1</v>
      </c>
      <c r="M435" t="s">
        <v>27</v>
      </c>
      <c r="N435" s="1" t="s">
        <v>102</v>
      </c>
      <c r="O435">
        <f>L435/N435</f>
        <v>1</v>
      </c>
      <c r="P435" s="1">
        <v>139</v>
      </c>
      <c r="Q435" s="1">
        <f>L435-N435</f>
        <v>0</v>
      </c>
      <c r="R435" s="1">
        <v>139</v>
      </c>
      <c r="S435">
        <f>SUM(P435,R435)</f>
        <v>278</v>
      </c>
    </row>
    <row r="436" spans="1:19" x14ac:dyDescent="0.45">
      <c r="A436">
        <v>610</v>
      </c>
      <c r="B436" t="s">
        <v>729</v>
      </c>
      <c r="C436" t="s">
        <v>15</v>
      </c>
      <c r="D436" t="s">
        <v>16</v>
      </c>
      <c r="E436">
        <v>31</v>
      </c>
      <c r="F436" t="s">
        <v>108</v>
      </c>
      <c r="G436" t="s">
        <v>109</v>
      </c>
      <c r="H436">
        <v>0</v>
      </c>
      <c r="I436">
        <v>0</v>
      </c>
      <c r="J436">
        <v>0</v>
      </c>
      <c r="K436">
        <v>1</v>
      </c>
      <c r="L436" s="1">
        <v>1</v>
      </c>
      <c r="M436" t="s">
        <v>82</v>
      </c>
      <c r="N436" s="1" t="s">
        <v>102</v>
      </c>
      <c r="O436">
        <f>L436/N436</f>
        <v>1</v>
      </c>
      <c r="P436" s="1">
        <v>140</v>
      </c>
      <c r="Q436" s="1">
        <f>L436-N436</f>
        <v>0</v>
      </c>
      <c r="R436" s="1">
        <v>140</v>
      </c>
      <c r="S436">
        <f>SUM(P436,R436)</f>
        <v>280</v>
      </c>
    </row>
    <row r="437" spans="1:19" x14ac:dyDescent="0.45">
      <c r="A437">
        <v>4</v>
      </c>
      <c r="B437" t="s">
        <v>733</v>
      </c>
      <c r="C437" t="s">
        <v>15</v>
      </c>
      <c r="D437" t="s">
        <v>93</v>
      </c>
      <c r="E437">
        <v>34</v>
      </c>
      <c r="F437" t="s">
        <v>108</v>
      </c>
      <c r="G437" t="s">
        <v>109</v>
      </c>
      <c r="H437">
        <v>0</v>
      </c>
      <c r="I437">
        <v>0</v>
      </c>
      <c r="J437">
        <v>0</v>
      </c>
      <c r="K437">
        <v>1</v>
      </c>
      <c r="L437" s="1">
        <v>1</v>
      </c>
      <c r="M437" t="s">
        <v>56</v>
      </c>
      <c r="N437" s="1" t="s">
        <v>102</v>
      </c>
      <c r="O437">
        <f>L437/N437</f>
        <v>1</v>
      </c>
      <c r="P437" s="1">
        <v>141</v>
      </c>
      <c r="Q437" s="1">
        <f>L437-N437</f>
        <v>0</v>
      </c>
      <c r="R437" s="1">
        <v>141</v>
      </c>
      <c r="S437">
        <f>SUM(P437,R437)</f>
        <v>282</v>
      </c>
    </row>
    <row r="438" spans="1:19" x14ac:dyDescent="0.45">
      <c r="A438">
        <v>5800</v>
      </c>
      <c r="B438" t="s">
        <v>187</v>
      </c>
      <c r="C438" t="s">
        <v>15</v>
      </c>
      <c r="D438" t="s">
        <v>77</v>
      </c>
      <c r="E438">
        <v>29</v>
      </c>
      <c r="F438" t="s">
        <v>33</v>
      </c>
      <c r="G438" t="s">
        <v>34</v>
      </c>
      <c r="H438">
        <v>2</v>
      </c>
      <c r="I438">
        <v>5.75</v>
      </c>
      <c r="J438">
        <v>7</v>
      </c>
      <c r="K438">
        <v>22</v>
      </c>
      <c r="L438" s="1">
        <v>13</v>
      </c>
      <c r="M438" t="s">
        <v>90</v>
      </c>
      <c r="N438" s="1" t="s">
        <v>73</v>
      </c>
      <c r="O438">
        <f>L438/N438</f>
        <v>0.9285714285714286</v>
      </c>
      <c r="P438" s="1">
        <v>142</v>
      </c>
      <c r="Q438" s="1">
        <f>L438-N438</f>
        <v>-1</v>
      </c>
      <c r="R438" s="1">
        <v>142</v>
      </c>
      <c r="S438">
        <f>SUM(P438,R438)</f>
        <v>284</v>
      </c>
    </row>
    <row r="439" spans="1:19" x14ac:dyDescent="0.45">
      <c r="A439">
        <v>4360</v>
      </c>
      <c r="B439" t="s">
        <v>273</v>
      </c>
      <c r="C439" t="s">
        <v>15</v>
      </c>
      <c r="D439" t="s">
        <v>242</v>
      </c>
      <c r="E439">
        <v>25</v>
      </c>
      <c r="F439" t="s">
        <v>108</v>
      </c>
      <c r="G439" t="s">
        <v>109</v>
      </c>
      <c r="H439">
        <v>3</v>
      </c>
      <c r="I439">
        <v>6.33</v>
      </c>
      <c r="J439">
        <v>6</v>
      </c>
      <c r="K439">
        <v>13</v>
      </c>
      <c r="L439" s="1">
        <v>11</v>
      </c>
      <c r="M439" t="s">
        <v>19</v>
      </c>
      <c r="N439" s="1" t="s">
        <v>166</v>
      </c>
      <c r="O439">
        <f>L439/N439</f>
        <v>0.91666666666666663</v>
      </c>
      <c r="P439" s="1">
        <v>143</v>
      </c>
      <c r="Q439" s="1">
        <f>L439-N439</f>
        <v>-1</v>
      </c>
      <c r="R439" s="1">
        <v>143</v>
      </c>
      <c r="S439">
        <f>SUM(P439,R439)</f>
        <v>286</v>
      </c>
    </row>
    <row r="440" spans="1:19" x14ac:dyDescent="0.45">
      <c r="A440">
        <v>536</v>
      </c>
      <c r="B440" t="s">
        <v>201</v>
      </c>
      <c r="C440" t="s">
        <v>15</v>
      </c>
      <c r="D440" t="s">
        <v>26</v>
      </c>
      <c r="E440">
        <v>33</v>
      </c>
      <c r="F440" t="s">
        <v>33</v>
      </c>
      <c r="G440" t="s">
        <v>202</v>
      </c>
      <c r="H440">
        <v>3</v>
      </c>
      <c r="I440">
        <v>5.83</v>
      </c>
      <c r="J440">
        <v>6.67</v>
      </c>
      <c r="K440">
        <v>20</v>
      </c>
      <c r="L440" s="1">
        <v>10</v>
      </c>
      <c r="M440" t="s">
        <v>90</v>
      </c>
      <c r="N440" s="1" t="s">
        <v>203</v>
      </c>
      <c r="O440">
        <f>L440/N440</f>
        <v>0.90909090909090906</v>
      </c>
      <c r="P440" s="1">
        <v>144</v>
      </c>
      <c r="Q440" s="1">
        <f>L440-N440</f>
        <v>-1</v>
      </c>
      <c r="R440" s="1">
        <v>144</v>
      </c>
      <c r="S440">
        <f>SUM(P440,R440)</f>
        <v>288</v>
      </c>
    </row>
    <row r="441" spans="1:19" x14ac:dyDescent="0.45">
      <c r="A441">
        <v>5885</v>
      </c>
      <c r="B441" t="s">
        <v>323</v>
      </c>
      <c r="C441" t="s">
        <v>15</v>
      </c>
      <c r="D441" t="s">
        <v>123</v>
      </c>
      <c r="E441">
        <v>28</v>
      </c>
      <c r="F441" t="s">
        <v>37</v>
      </c>
      <c r="G441" t="s">
        <v>208</v>
      </c>
      <c r="H441">
        <v>1</v>
      </c>
      <c r="I441">
        <v>5</v>
      </c>
      <c r="J441">
        <v>5</v>
      </c>
      <c r="K441">
        <v>10</v>
      </c>
      <c r="L441" s="1">
        <v>9</v>
      </c>
      <c r="M441" t="s">
        <v>69</v>
      </c>
      <c r="N441" s="1" t="s">
        <v>152</v>
      </c>
      <c r="O441">
        <f>L441/N441</f>
        <v>0.9</v>
      </c>
      <c r="P441" s="1">
        <v>145</v>
      </c>
      <c r="Q441" s="1">
        <f>L441-N441</f>
        <v>-1</v>
      </c>
      <c r="R441" s="1">
        <v>145</v>
      </c>
      <c r="S441">
        <f>SUM(P441,R441)</f>
        <v>290</v>
      </c>
    </row>
    <row r="442" spans="1:19" x14ac:dyDescent="0.45">
      <c r="A442">
        <v>5500</v>
      </c>
      <c r="B442" t="s">
        <v>293</v>
      </c>
      <c r="C442" t="s">
        <v>15</v>
      </c>
      <c r="D442" t="s">
        <v>77</v>
      </c>
      <c r="E442">
        <v>24</v>
      </c>
      <c r="F442" t="s">
        <v>33</v>
      </c>
      <c r="G442" t="s">
        <v>63</v>
      </c>
      <c r="H442">
        <v>3</v>
      </c>
      <c r="I442">
        <v>5.83</v>
      </c>
      <c r="J442">
        <v>5.67</v>
      </c>
      <c r="K442">
        <v>11</v>
      </c>
      <c r="L442" s="1">
        <v>9</v>
      </c>
      <c r="M442" t="s">
        <v>69</v>
      </c>
      <c r="N442" s="1" t="s">
        <v>152</v>
      </c>
      <c r="O442">
        <f>L442/N442</f>
        <v>0.9</v>
      </c>
      <c r="P442" s="1">
        <v>146</v>
      </c>
      <c r="Q442" s="1">
        <f>L442-N442</f>
        <v>-1</v>
      </c>
      <c r="R442" s="1">
        <v>146</v>
      </c>
      <c r="S442">
        <f>SUM(P442,R442)</f>
        <v>292</v>
      </c>
    </row>
    <row r="443" spans="1:19" x14ac:dyDescent="0.45">
      <c r="A443">
        <v>7220</v>
      </c>
      <c r="B443" t="s">
        <v>347</v>
      </c>
      <c r="C443" t="s">
        <v>15</v>
      </c>
      <c r="D443" t="s">
        <v>121</v>
      </c>
      <c r="E443">
        <v>24</v>
      </c>
      <c r="F443" t="s">
        <v>37</v>
      </c>
      <c r="G443" t="s">
        <v>208</v>
      </c>
      <c r="H443">
        <v>1</v>
      </c>
      <c r="I443">
        <v>6.5</v>
      </c>
      <c r="J443">
        <v>7.5</v>
      </c>
      <c r="K443">
        <v>9</v>
      </c>
      <c r="L443" s="1">
        <v>8</v>
      </c>
      <c r="M443" t="s">
        <v>42</v>
      </c>
      <c r="N443" s="1" t="s">
        <v>196</v>
      </c>
      <c r="O443">
        <f>L443/N443</f>
        <v>0.88888888888888884</v>
      </c>
      <c r="P443" s="1">
        <v>147</v>
      </c>
      <c r="Q443" s="1">
        <f>L443-N443</f>
        <v>-1</v>
      </c>
      <c r="R443" s="1">
        <v>147</v>
      </c>
      <c r="S443">
        <f>SUM(P443,R443)</f>
        <v>294</v>
      </c>
    </row>
    <row r="444" spans="1:19" x14ac:dyDescent="0.45">
      <c r="A444">
        <v>6660</v>
      </c>
      <c r="B444" t="s">
        <v>418</v>
      </c>
      <c r="C444" t="s">
        <v>15</v>
      </c>
      <c r="D444" t="s">
        <v>151</v>
      </c>
      <c r="E444">
        <v>24</v>
      </c>
      <c r="F444" t="s">
        <v>37</v>
      </c>
      <c r="G444" t="s">
        <v>141</v>
      </c>
      <c r="H444">
        <v>3</v>
      </c>
      <c r="I444">
        <v>5.33</v>
      </c>
      <c r="J444">
        <v>5.33</v>
      </c>
      <c r="K444">
        <v>7</v>
      </c>
      <c r="L444" s="1">
        <v>6</v>
      </c>
      <c r="M444" t="s">
        <v>82</v>
      </c>
      <c r="N444" s="1" t="s">
        <v>176</v>
      </c>
      <c r="O444">
        <f>L444/N444</f>
        <v>0.8571428571428571</v>
      </c>
      <c r="P444" s="1">
        <v>148</v>
      </c>
      <c r="Q444" s="1">
        <f>L444-N444</f>
        <v>-1</v>
      </c>
      <c r="R444" s="1">
        <v>148</v>
      </c>
      <c r="S444">
        <f>SUM(P444,R444)</f>
        <v>296</v>
      </c>
    </row>
    <row r="445" spans="1:19" x14ac:dyDescent="0.45">
      <c r="A445">
        <v>2528</v>
      </c>
      <c r="B445" t="s">
        <v>369</v>
      </c>
      <c r="C445" t="s">
        <v>15</v>
      </c>
      <c r="D445" t="s">
        <v>85</v>
      </c>
      <c r="E445">
        <v>38</v>
      </c>
      <c r="F445" t="s">
        <v>33</v>
      </c>
      <c r="G445" t="s">
        <v>41</v>
      </c>
      <c r="H445">
        <v>3</v>
      </c>
      <c r="I445">
        <v>6.33</v>
      </c>
      <c r="J445">
        <v>6.17</v>
      </c>
      <c r="K445">
        <v>8</v>
      </c>
      <c r="L445" s="1">
        <v>6</v>
      </c>
      <c r="M445" t="s">
        <v>72</v>
      </c>
      <c r="N445" s="1" t="s">
        <v>176</v>
      </c>
      <c r="O445">
        <f>L445/N445</f>
        <v>0.8571428571428571</v>
      </c>
      <c r="P445" s="1">
        <v>149</v>
      </c>
      <c r="Q445" s="1">
        <f>L445-N445</f>
        <v>-1</v>
      </c>
      <c r="R445" s="1">
        <v>149</v>
      </c>
      <c r="S445">
        <f>SUM(P445,R445)</f>
        <v>298</v>
      </c>
    </row>
    <row r="446" spans="1:19" x14ac:dyDescent="0.45">
      <c r="A446">
        <v>608</v>
      </c>
      <c r="B446" t="s">
        <v>436</v>
      </c>
      <c r="C446" t="s">
        <v>15</v>
      </c>
      <c r="D446" t="s">
        <v>121</v>
      </c>
      <c r="E446">
        <v>35</v>
      </c>
      <c r="F446" t="s">
        <v>17</v>
      </c>
      <c r="G446" t="s">
        <v>18</v>
      </c>
      <c r="H446">
        <v>0</v>
      </c>
      <c r="I446">
        <v>0</v>
      </c>
      <c r="J446">
        <v>0</v>
      </c>
      <c r="K446">
        <v>6</v>
      </c>
      <c r="L446" s="1">
        <v>6</v>
      </c>
      <c r="M446" t="s">
        <v>42</v>
      </c>
      <c r="N446" s="1" t="s">
        <v>176</v>
      </c>
      <c r="O446">
        <f>L446/N446</f>
        <v>0.8571428571428571</v>
      </c>
      <c r="P446" s="1">
        <v>150</v>
      </c>
      <c r="Q446" s="1">
        <f>L446-N446</f>
        <v>-1</v>
      </c>
      <c r="R446" s="1">
        <v>150</v>
      </c>
      <c r="S446">
        <f>SUM(P446,R446)</f>
        <v>300</v>
      </c>
    </row>
    <row r="447" spans="1:19" x14ac:dyDescent="0.45">
      <c r="A447">
        <v>6893</v>
      </c>
      <c r="B447" t="s">
        <v>417</v>
      </c>
      <c r="C447" t="s">
        <v>15</v>
      </c>
      <c r="D447" t="s">
        <v>32</v>
      </c>
      <c r="E447">
        <v>31</v>
      </c>
      <c r="F447" t="s">
        <v>37</v>
      </c>
      <c r="G447" t="s">
        <v>141</v>
      </c>
      <c r="H447">
        <v>1</v>
      </c>
      <c r="I447">
        <v>6.5</v>
      </c>
      <c r="J447">
        <v>6.5</v>
      </c>
      <c r="K447">
        <v>7</v>
      </c>
      <c r="L447" s="1">
        <v>5</v>
      </c>
      <c r="M447" t="s">
        <v>56</v>
      </c>
      <c r="N447" s="1" t="s">
        <v>116</v>
      </c>
      <c r="O447">
        <f>L447/N447</f>
        <v>0.83333333333333337</v>
      </c>
      <c r="P447" s="1">
        <v>153</v>
      </c>
      <c r="Q447" s="1">
        <f>L447-N447</f>
        <v>-1</v>
      </c>
      <c r="R447" s="1">
        <v>151</v>
      </c>
      <c r="S447">
        <f>SUM(P447,R447)</f>
        <v>304</v>
      </c>
    </row>
    <row r="448" spans="1:19" x14ac:dyDescent="0.45">
      <c r="A448">
        <v>2848</v>
      </c>
      <c r="B448" t="s">
        <v>76</v>
      </c>
      <c r="C448" t="s">
        <v>15</v>
      </c>
      <c r="D448" t="s">
        <v>77</v>
      </c>
      <c r="E448">
        <v>27</v>
      </c>
      <c r="F448" t="s">
        <v>33</v>
      </c>
      <c r="G448" t="s">
        <v>49</v>
      </c>
      <c r="H448">
        <v>3</v>
      </c>
      <c r="I448">
        <v>7.17</v>
      </c>
      <c r="J448">
        <v>10.17</v>
      </c>
      <c r="K448">
        <v>60</v>
      </c>
      <c r="L448" s="1">
        <v>11</v>
      </c>
      <c r="M448" t="s">
        <v>50</v>
      </c>
      <c r="N448" s="1" t="s">
        <v>78</v>
      </c>
      <c r="O448">
        <f>L448/N448</f>
        <v>0.84615384615384615</v>
      </c>
      <c r="P448" s="1">
        <v>151</v>
      </c>
      <c r="Q448" s="1">
        <f>L448-N448</f>
        <v>-2</v>
      </c>
      <c r="R448" s="1">
        <v>155</v>
      </c>
      <c r="S448">
        <f>SUM(P448,R448)</f>
        <v>306</v>
      </c>
    </row>
    <row r="449" spans="1:19" x14ac:dyDescent="0.45">
      <c r="A449">
        <v>7602</v>
      </c>
      <c r="B449" t="s">
        <v>542</v>
      </c>
      <c r="C449" t="s">
        <v>15</v>
      </c>
      <c r="D449" t="s">
        <v>276</v>
      </c>
      <c r="E449">
        <v>22</v>
      </c>
      <c r="F449" t="s">
        <v>17</v>
      </c>
      <c r="G449" t="s">
        <v>63</v>
      </c>
      <c r="H449">
        <v>2</v>
      </c>
      <c r="I449">
        <v>5.5</v>
      </c>
      <c r="J449">
        <v>5.5</v>
      </c>
      <c r="K449">
        <v>4</v>
      </c>
      <c r="L449" s="1">
        <v>4</v>
      </c>
      <c r="M449" t="s">
        <v>50</v>
      </c>
      <c r="N449" s="1" t="s">
        <v>112</v>
      </c>
      <c r="O449">
        <f>L449/N449</f>
        <v>0.8</v>
      </c>
      <c r="P449" s="1">
        <v>155</v>
      </c>
      <c r="Q449" s="1">
        <f>L449-N449</f>
        <v>-1</v>
      </c>
      <c r="R449" s="1">
        <v>152</v>
      </c>
      <c r="S449">
        <f>SUM(P449,R449)</f>
        <v>307</v>
      </c>
    </row>
    <row r="450" spans="1:19" x14ac:dyDescent="0.45">
      <c r="A450">
        <v>6904</v>
      </c>
      <c r="B450" t="s">
        <v>243</v>
      </c>
      <c r="C450" t="s">
        <v>15</v>
      </c>
      <c r="D450" t="s">
        <v>221</v>
      </c>
      <c r="E450">
        <v>26</v>
      </c>
      <c r="F450" t="s">
        <v>17</v>
      </c>
      <c r="G450" t="s">
        <v>17</v>
      </c>
      <c r="H450">
        <v>4</v>
      </c>
      <c r="I450">
        <v>6.25</v>
      </c>
      <c r="J450">
        <v>7</v>
      </c>
      <c r="K450">
        <v>15</v>
      </c>
      <c r="L450" s="1">
        <v>10</v>
      </c>
      <c r="M450" t="s">
        <v>23</v>
      </c>
      <c r="N450" s="1" t="s">
        <v>166</v>
      </c>
      <c r="O450">
        <f>L450/N450</f>
        <v>0.83333333333333337</v>
      </c>
      <c r="P450" s="1">
        <v>152</v>
      </c>
      <c r="Q450" s="1">
        <f>L450-N450</f>
        <v>-2</v>
      </c>
      <c r="R450" s="1">
        <v>156</v>
      </c>
      <c r="S450">
        <f>SUM(P450,R450)</f>
        <v>308</v>
      </c>
    </row>
    <row r="451" spans="1:19" x14ac:dyDescent="0.45">
      <c r="A451">
        <v>4137</v>
      </c>
      <c r="B451" t="s">
        <v>283</v>
      </c>
      <c r="C451" t="s">
        <v>15</v>
      </c>
      <c r="D451" t="s">
        <v>223</v>
      </c>
      <c r="E451">
        <v>33</v>
      </c>
      <c r="F451" t="s">
        <v>37</v>
      </c>
      <c r="G451" t="s">
        <v>141</v>
      </c>
      <c r="H451">
        <v>1</v>
      </c>
      <c r="I451">
        <v>5.5</v>
      </c>
      <c r="J451">
        <v>5.5</v>
      </c>
      <c r="K451">
        <v>12</v>
      </c>
      <c r="L451" s="1">
        <v>8</v>
      </c>
      <c r="M451" t="s">
        <v>69</v>
      </c>
      <c r="N451" s="1" t="s">
        <v>152</v>
      </c>
      <c r="O451">
        <f>L451/N451</f>
        <v>0.8</v>
      </c>
      <c r="P451" s="1">
        <v>156</v>
      </c>
      <c r="Q451" s="1">
        <f>L451-N451</f>
        <v>-2</v>
      </c>
      <c r="R451" s="1">
        <v>157</v>
      </c>
      <c r="S451">
        <f>SUM(P451,R451)</f>
        <v>313</v>
      </c>
    </row>
    <row r="452" spans="1:19" x14ac:dyDescent="0.45">
      <c r="A452">
        <v>6867</v>
      </c>
      <c r="B452" t="s">
        <v>268</v>
      </c>
      <c r="C452" t="s">
        <v>15</v>
      </c>
      <c r="D452" t="s">
        <v>32</v>
      </c>
      <c r="E452">
        <v>22</v>
      </c>
      <c r="F452" t="s">
        <v>37</v>
      </c>
      <c r="G452" t="s">
        <v>255</v>
      </c>
      <c r="H452">
        <v>3</v>
      </c>
      <c r="I452">
        <v>6.33</v>
      </c>
      <c r="J452">
        <v>6.67</v>
      </c>
      <c r="K452">
        <v>13</v>
      </c>
      <c r="L452" s="1">
        <v>7</v>
      </c>
      <c r="M452" t="s">
        <v>27</v>
      </c>
      <c r="N452" s="1" t="s">
        <v>196</v>
      </c>
      <c r="O452">
        <f>L452/N452</f>
        <v>0.77777777777777779</v>
      </c>
      <c r="P452" s="1">
        <v>157</v>
      </c>
      <c r="Q452" s="1">
        <f>L452-N452</f>
        <v>-2</v>
      </c>
      <c r="R452" s="1">
        <v>158</v>
      </c>
      <c r="S452">
        <f>SUM(P452,R452)</f>
        <v>315</v>
      </c>
    </row>
    <row r="453" spans="1:19" x14ac:dyDescent="0.45">
      <c r="A453">
        <v>2640</v>
      </c>
      <c r="B453" t="s">
        <v>582</v>
      </c>
      <c r="C453" t="s">
        <v>15</v>
      </c>
      <c r="D453" t="s">
        <v>93</v>
      </c>
      <c r="E453">
        <v>33</v>
      </c>
      <c r="F453" t="s">
        <v>37</v>
      </c>
      <c r="G453" t="s">
        <v>248</v>
      </c>
      <c r="H453">
        <v>3</v>
      </c>
      <c r="I453">
        <v>6.17</v>
      </c>
      <c r="J453">
        <v>6.17</v>
      </c>
      <c r="K453">
        <v>4</v>
      </c>
      <c r="L453" s="1">
        <v>6</v>
      </c>
      <c r="M453" t="s">
        <v>27</v>
      </c>
      <c r="N453" s="1" t="s">
        <v>164</v>
      </c>
      <c r="O453">
        <f>L453/N453</f>
        <v>0.75</v>
      </c>
      <c r="P453" s="1">
        <v>158</v>
      </c>
      <c r="Q453" s="1">
        <f>L453-N453</f>
        <v>-2</v>
      </c>
      <c r="R453" s="1">
        <v>159</v>
      </c>
      <c r="S453">
        <f>SUM(P453,R453)</f>
        <v>317</v>
      </c>
    </row>
    <row r="454" spans="1:19" x14ac:dyDescent="0.45">
      <c r="A454">
        <v>6217</v>
      </c>
      <c r="B454" t="s">
        <v>216</v>
      </c>
      <c r="C454" t="s">
        <v>15</v>
      </c>
      <c r="D454" t="s">
        <v>22</v>
      </c>
      <c r="E454">
        <v>26</v>
      </c>
      <c r="F454" t="s">
        <v>37</v>
      </c>
      <c r="G454" t="s">
        <v>141</v>
      </c>
      <c r="H454">
        <v>3</v>
      </c>
      <c r="I454">
        <v>6.67</v>
      </c>
      <c r="J454">
        <v>7.67</v>
      </c>
      <c r="K454">
        <v>18</v>
      </c>
      <c r="L454" s="1">
        <v>13</v>
      </c>
      <c r="M454" t="s">
        <v>27</v>
      </c>
      <c r="N454" s="1" t="s">
        <v>126</v>
      </c>
      <c r="O454">
        <f>L454/N454</f>
        <v>0.8125</v>
      </c>
      <c r="P454" s="1">
        <v>154</v>
      </c>
      <c r="Q454" s="1">
        <f>L454-N454</f>
        <v>-3</v>
      </c>
      <c r="R454" s="1">
        <v>165</v>
      </c>
      <c r="S454">
        <f>SUM(P454,R454)</f>
        <v>319</v>
      </c>
    </row>
    <row r="455" spans="1:19" x14ac:dyDescent="0.45">
      <c r="A455">
        <v>4887</v>
      </c>
      <c r="B455" t="s">
        <v>352</v>
      </c>
      <c r="C455" t="s">
        <v>15</v>
      </c>
      <c r="D455" t="s">
        <v>93</v>
      </c>
      <c r="E455">
        <v>26</v>
      </c>
      <c r="F455" t="s">
        <v>37</v>
      </c>
      <c r="G455" t="s">
        <v>208</v>
      </c>
      <c r="H455">
        <v>1</v>
      </c>
      <c r="I455">
        <v>5.5</v>
      </c>
      <c r="J455">
        <v>5</v>
      </c>
      <c r="K455">
        <v>9</v>
      </c>
      <c r="L455" s="1">
        <v>5</v>
      </c>
      <c r="M455" t="s">
        <v>72</v>
      </c>
      <c r="N455" s="1" t="s">
        <v>176</v>
      </c>
      <c r="O455">
        <f>L455/N455</f>
        <v>0.7142857142857143</v>
      </c>
      <c r="P455" s="1">
        <v>162</v>
      </c>
      <c r="Q455" s="1">
        <f>L455-N455</f>
        <v>-2</v>
      </c>
      <c r="R455" s="1">
        <v>160</v>
      </c>
      <c r="S455">
        <f>SUM(P455,R455)</f>
        <v>322</v>
      </c>
    </row>
    <row r="456" spans="1:19" x14ac:dyDescent="0.45">
      <c r="A456">
        <v>6204</v>
      </c>
      <c r="B456" t="s">
        <v>244</v>
      </c>
      <c r="C456" t="s">
        <v>15</v>
      </c>
      <c r="D456" t="s">
        <v>148</v>
      </c>
      <c r="E456">
        <v>23</v>
      </c>
      <c r="F456" t="s">
        <v>17</v>
      </c>
      <c r="G456" t="s">
        <v>63</v>
      </c>
      <c r="H456">
        <v>3</v>
      </c>
      <c r="I456">
        <v>6.83</v>
      </c>
      <c r="J456">
        <v>8.17</v>
      </c>
      <c r="K456">
        <v>15</v>
      </c>
      <c r="L456" s="1">
        <v>8</v>
      </c>
      <c r="M456" t="s">
        <v>19</v>
      </c>
      <c r="N456" s="1" t="s">
        <v>203</v>
      </c>
      <c r="O456">
        <f>L456/N456</f>
        <v>0.72727272727272729</v>
      </c>
      <c r="P456" s="1">
        <v>160</v>
      </c>
      <c r="Q456" s="1">
        <f>L456-N456</f>
        <v>-3</v>
      </c>
      <c r="R456" s="1">
        <v>166</v>
      </c>
      <c r="S456">
        <f>SUM(P456,R456)</f>
        <v>326</v>
      </c>
    </row>
    <row r="457" spans="1:19" x14ac:dyDescent="0.45">
      <c r="A457">
        <v>4387</v>
      </c>
      <c r="B457" t="s">
        <v>589</v>
      </c>
      <c r="C457" t="s">
        <v>15</v>
      </c>
      <c r="D457" t="s">
        <v>221</v>
      </c>
      <c r="E457">
        <v>26</v>
      </c>
      <c r="F457" t="s">
        <v>17</v>
      </c>
      <c r="G457" t="s">
        <v>18</v>
      </c>
      <c r="H457">
        <v>0</v>
      </c>
      <c r="I457">
        <v>0</v>
      </c>
      <c r="J457">
        <v>0</v>
      </c>
      <c r="K457">
        <v>3</v>
      </c>
      <c r="L457" s="1">
        <v>4</v>
      </c>
      <c r="M457" t="s">
        <v>27</v>
      </c>
      <c r="N457" s="1" t="s">
        <v>116</v>
      </c>
      <c r="O457">
        <f>L457/N457</f>
        <v>0.66666666666666663</v>
      </c>
      <c r="P457" s="1">
        <v>167</v>
      </c>
      <c r="Q457" s="1">
        <f>L457-N457</f>
        <v>-2</v>
      </c>
      <c r="R457" s="1">
        <v>161</v>
      </c>
      <c r="S457">
        <f>SUM(P457,R457)</f>
        <v>328</v>
      </c>
    </row>
    <row r="458" spans="1:19" x14ac:dyDescent="0.45">
      <c r="A458">
        <v>5858</v>
      </c>
      <c r="B458" t="s">
        <v>280</v>
      </c>
      <c r="C458" t="s">
        <v>15</v>
      </c>
      <c r="D458" t="s">
        <v>62</v>
      </c>
      <c r="E458">
        <v>27</v>
      </c>
      <c r="F458" t="s">
        <v>33</v>
      </c>
      <c r="G458" t="s">
        <v>41</v>
      </c>
      <c r="H458">
        <v>3</v>
      </c>
      <c r="I458">
        <v>6</v>
      </c>
      <c r="J458">
        <v>6</v>
      </c>
      <c r="K458">
        <v>12</v>
      </c>
      <c r="L458" s="1">
        <v>8</v>
      </c>
      <c r="M458" t="s">
        <v>50</v>
      </c>
      <c r="N458" s="1" t="s">
        <v>203</v>
      </c>
      <c r="O458">
        <f>L458/N458</f>
        <v>0.72727272727272729</v>
      </c>
      <c r="P458" s="1">
        <v>161</v>
      </c>
      <c r="Q458" s="1">
        <f>L458-N458</f>
        <v>-3</v>
      </c>
      <c r="R458" s="1">
        <v>167</v>
      </c>
      <c r="S458">
        <f>SUM(P458,R458)</f>
        <v>328</v>
      </c>
    </row>
    <row r="459" spans="1:19" x14ac:dyDescent="0.45">
      <c r="A459">
        <v>4479</v>
      </c>
      <c r="B459" t="s">
        <v>294</v>
      </c>
      <c r="C459" t="s">
        <v>15</v>
      </c>
      <c r="D459" t="s">
        <v>93</v>
      </c>
      <c r="E459">
        <v>27</v>
      </c>
      <c r="F459" t="s">
        <v>33</v>
      </c>
      <c r="G459" t="s">
        <v>171</v>
      </c>
      <c r="H459">
        <v>2</v>
      </c>
      <c r="I459">
        <v>5.5</v>
      </c>
      <c r="J459">
        <v>5.5</v>
      </c>
      <c r="K459">
        <v>11</v>
      </c>
      <c r="L459" s="1">
        <v>7</v>
      </c>
      <c r="M459" t="s">
        <v>69</v>
      </c>
      <c r="N459" s="1" t="s">
        <v>152</v>
      </c>
      <c r="O459">
        <f>L459/N459</f>
        <v>0.7</v>
      </c>
      <c r="P459" s="1">
        <v>163</v>
      </c>
      <c r="Q459" s="1">
        <f>L459-N459</f>
        <v>-3</v>
      </c>
      <c r="R459" s="1">
        <v>168</v>
      </c>
      <c r="S459">
        <f>SUM(P459,R459)</f>
        <v>331</v>
      </c>
    </row>
    <row r="460" spans="1:19" x14ac:dyDescent="0.45">
      <c r="A460">
        <v>5982</v>
      </c>
      <c r="B460" t="s">
        <v>237</v>
      </c>
      <c r="C460" t="s">
        <v>15</v>
      </c>
      <c r="D460" t="s">
        <v>22</v>
      </c>
      <c r="E460">
        <v>26</v>
      </c>
      <c r="F460" t="s">
        <v>37</v>
      </c>
      <c r="G460" t="s">
        <v>99</v>
      </c>
      <c r="H460">
        <v>0</v>
      </c>
      <c r="I460">
        <v>0</v>
      </c>
      <c r="J460">
        <v>0</v>
      </c>
      <c r="K460">
        <v>16</v>
      </c>
      <c r="L460" s="1">
        <v>11</v>
      </c>
      <c r="M460" t="s">
        <v>53</v>
      </c>
      <c r="N460" s="1" t="s">
        <v>91</v>
      </c>
      <c r="O460">
        <f>L460/N460</f>
        <v>0.73333333333333328</v>
      </c>
      <c r="P460" s="1">
        <v>159</v>
      </c>
      <c r="Q460" s="1">
        <f>L460-N460</f>
        <v>-4</v>
      </c>
      <c r="R460" s="1">
        <v>172</v>
      </c>
      <c r="S460">
        <f>SUM(P460,R460)</f>
        <v>331</v>
      </c>
    </row>
    <row r="461" spans="1:19" x14ac:dyDescent="0.45">
      <c r="A461">
        <v>4236</v>
      </c>
      <c r="B461" t="s">
        <v>385</v>
      </c>
      <c r="C461" t="s">
        <v>15</v>
      </c>
      <c r="D461" t="s">
        <v>85</v>
      </c>
      <c r="E461">
        <v>28</v>
      </c>
      <c r="F461" t="s">
        <v>108</v>
      </c>
      <c r="G461" t="s">
        <v>109</v>
      </c>
      <c r="H461">
        <v>3</v>
      </c>
      <c r="I461">
        <v>6</v>
      </c>
      <c r="J461">
        <v>4.33</v>
      </c>
      <c r="K461">
        <v>8</v>
      </c>
      <c r="L461" s="1">
        <v>7</v>
      </c>
      <c r="M461" t="s">
        <v>42</v>
      </c>
      <c r="N461" s="1" t="s">
        <v>152</v>
      </c>
      <c r="O461">
        <f>L461/N461</f>
        <v>0.7</v>
      </c>
      <c r="P461" s="1">
        <v>164</v>
      </c>
      <c r="Q461" s="1">
        <f>L461-N461</f>
        <v>-3</v>
      </c>
      <c r="R461" s="1">
        <v>169</v>
      </c>
      <c r="S461">
        <f>SUM(P461,R461)</f>
        <v>333</v>
      </c>
    </row>
    <row r="462" spans="1:19" x14ac:dyDescent="0.45">
      <c r="A462">
        <v>7175</v>
      </c>
      <c r="B462" t="s">
        <v>469</v>
      </c>
      <c r="C462" t="s">
        <v>15</v>
      </c>
      <c r="D462" t="s">
        <v>123</v>
      </c>
      <c r="E462">
        <v>26</v>
      </c>
      <c r="F462" t="s">
        <v>37</v>
      </c>
      <c r="G462" t="s">
        <v>208</v>
      </c>
      <c r="H462">
        <v>2</v>
      </c>
      <c r="I462">
        <v>5.25</v>
      </c>
      <c r="J462">
        <v>5.25</v>
      </c>
      <c r="K462">
        <v>6</v>
      </c>
      <c r="L462" s="1">
        <v>3</v>
      </c>
      <c r="M462" t="s">
        <v>90</v>
      </c>
      <c r="N462" s="1" t="s">
        <v>112</v>
      </c>
      <c r="O462">
        <f>L462/N462</f>
        <v>0.6</v>
      </c>
      <c r="P462" s="1">
        <v>173</v>
      </c>
      <c r="Q462" s="1">
        <f>L462-N462</f>
        <v>-2</v>
      </c>
      <c r="R462" s="1">
        <v>162</v>
      </c>
      <c r="S462">
        <f>SUM(P462,R462)</f>
        <v>335</v>
      </c>
    </row>
    <row r="463" spans="1:19" x14ac:dyDescent="0.45">
      <c r="A463">
        <v>7219</v>
      </c>
      <c r="B463" t="s">
        <v>348</v>
      </c>
      <c r="C463" t="s">
        <v>15</v>
      </c>
      <c r="D463" t="s">
        <v>93</v>
      </c>
      <c r="E463">
        <v>23</v>
      </c>
      <c r="F463" t="s">
        <v>37</v>
      </c>
      <c r="G463" t="s">
        <v>255</v>
      </c>
      <c r="H463">
        <v>1</v>
      </c>
      <c r="I463">
        <v>5.5</v>
      </c>
      <c r="J463">
        <v>5.5</v>
      </c>
      <c r="K463">
        <v>9</v>
      </c>
      <c r="L463" s="1">
        <v>5</v>
      </c>
      <c r="M463" t="s">
        <v>90</v>
      </c>
      <c r="N463" s="1" t="s">
        <v>164</v>
      </c>
      <c r="O463">
        <f>L463/N463</f>
        <v>0.625</v>
      </c>
      <c r="P463" s="1">
        <v>171</v>
      </c>
      <c r="Q463" s="1">
        <f>L463-N463</f>
        <v>-3</v>
      </c>
      <c r="R463" s="1">
        <v>170</v>
      </c>
      <c r="S463">
        <f>SUM(P463,R463)</f>
        <v>341</v>
      </c>
    </row>
    <row r="464" spans="1:19" x14ac:dyDescent="0.45">
      <c r="A464">
        <v>6190</v>
      </c>
      <c r="B464" t="s">
        <v>310</v>
      </c>
      <c r="C464" t="s">
        <v>15</v>
      </c>
      <c r="D464" t="s">
        <v>16</v>
      </c>
      <c r="E464">
        <v>22</v>
      </c>
      <c r="F464" t="s">
        <v>33</v>
      </c>
      <c r="G464" t="s">
        <v>33</v>
      </c>
      <c r="H464">
        <v>2</v>
      </c>
      <c r="I464">
        <v>6.5</v>
      </c>
      <c r="J464">
        <v>8</v>
      </c>
      <c r="K464">
        <v>10</v>
      </c>
      <c r="L464" s="1">
        <v>7</v>
      </c>
      <c r="M464" t="s">
        <v>82</v>
      </c>
      <c r="N464" s="1" t="s">
        <v>203</v>
      </c>
      <c r="O464">
        <f>L464/N464</f>
        <v>0.63636363636363635</v>
      </c>
      <c r="P464" s="1">
        <v>169</v>
      </c>
      <c r="Q464" s="1">
        <f>L464-N464</f>
        <v>-4</v>
      </c>
      <c r="R464" s="1">
        <v>173</v>
      </c>
      <c r="S464">
        <f>SUM(P464,R464)</f>
        <v>342</v>
      </c>
    </row>
    <row r="465" spans="1:19" x14ac:dyDescent="0.45">
      <c r="A465">
        <v>6164</v>
      </c>
      <c r="B465" t="s">
        <v>435</v>
      </c>
      <c r="C465" t="s">
        <v>15</v>
      </c>
      <c r="D465" t="s">
        <v>151</v>
      </c>
      <c r="E465">
        <v>26</v>
      </c>
      <c r="F465" t="s">
        <v>17</v>
      </c>
      <c r="G465" t="s">
        <v>17</v>
      </c>
      <c r="H465">
        <v>3</v>
      </c>
      <c r="I465">
        <v>5.5</v>
      </c>
      <c r="J465">
        <v>5.5</v>
      </c>
      <c r="K465">
        <v>6</v>
      </c>
      <c r="L465" s="1">
        <v>7</v>
      </c>
      <c r="M465" t="s">
        <v>50</v>
      </c>
      <c r="N465" s="1" t="s">
        <v>203</v>
      </c>
      <c r="O465">
        <f>L465/N465</f>
        <v>0.63636363636363635</v>
      </c>
      <c r="P465" s="1">
        <v>170</v>
      </c>
      <c r="Q465" s="1">
        <f>L465-N465</f>
        <v>-4</v>
      </c>
      <c r="R465" s="1">
        <v>174</v>
      </c>
      <c r="S465">
        <f>SUM(P465,R465)</f>
        <v>344</v>
      </c>
    </row>
    <row r="466" spans="1:19" x14ac:dyDescent="0.45">
      <c r="A466">
        <v>5526</v>
      </c>
      <c r="B466" t="s">
        <v>270</v>
      </c>
      <c r="C466" t="s">
        <v>15</v>
      </c>
      <c r="D466" t="s">
        <v>93</v>
      </c>
      <c r="E466">
        <v>23</v>
      </c>
      <c r="F466" t="s">
        <v>37</v>
      </c>
      <c r="G466" t="s">
        <v>141</v>
      </c>
      <c r="H466">
        <v>3</v>
      </c>
      <c r="I466">
        <v>6.17</v>
      </c>
      <c r="J466">
        <v>6.17</v>
      </c>
      <c r="K466">
        <v>13</v>
      </c>
      <c r="L466" s="1">
        <v>11</v>
      </c>
      <c r="M466" t="s">
        <v>42</v>
      </c>
      <c r="N466" s="1" t="s">
        <v>126</v>
      </c>
      <c r="O466">
        <f>L466/N466</f>
        <v>0.6875</v>
      </c>
      <c r="P466" s="1">
        <v>165</v>
      </c>
      <c r="Q466" s="1">
        <f>L466-N466</f>
        <v>-5</v>
      </c>
      <c r="R466" s="1">
        <v>179</v>
      </c>
      <c r="S466">
        <f>SUM(P466,R466)</f>
        <v>344</v>
      </c>
    </row>
    <row r="467" spans="1:19" x14ac:dyDescent="0.45">
      <c r="A467">
        <v>7603</v>
      </c>
      <c r="B467" t="s">
        <v>692</v>
      </c>
      <c r="C467" t="s">
        <v>15</v>
      </c>
      <c r="D467" t="s">
        <v>66</v>
      </c>
      <c r="E467">
        <v>27</v>
      </c>
      <c r="F467" t="s">
        <v>108</v>
      </c>
      <c r="G467" t="s">
        <v>109</v>
      </c>
      <c r="H467">
        <v>0</v>
      </c>
      <c r="I467">
        <v>0</v>
      </c>
      <c r="J467">
        <v>0</v>
      </c>
      <c r="K467">
        <v>1</v>
      </c>
      <c r="L467" s="1">
        <v>1</v>
      </c>
      <c r="M467" t="s">
        <v>19</v>
      </c>
      <c r="N467" s="1" t="s">
        <v>30</v>
      </c>
      <c r="O467">
        <f>L467/N467</f>
        <v>0.5</v>
      </c>
      <c r="P467" s="1">
        <v>194</v>
      </c>
      <c r="Q467" s="1">
        <f>L467-N467</f>
        <v>-1</v>
      </c>
      <c r="R467" s="1">
        <v>153</v>
      </c>
      <c r="S467">
        <f>SUM(P467,R467)</f>
        <v>347</v>
      </c>
    </row>
    <row r="468" spans="1:19" x14ac:dyDescent="0.45">
      <c r="A468">
        <v>5735</v>
      </c>
      <c r="B468" t="s">
        <v>263</v>
      </c>
      <c r="C468" t="s">
        <v>15</v>
      </c>
      <c r="D468" t="s">
        <v>85</v>
      </c>
      <c r="E468">
        <v>23</v>
      </c>
      <c r="F468" t="s">
        <v>33</v>
      </c>
      <c r="G468" t="s">
        <v>171</v>
      </c>
      <c r="H468">
        <v>3</v>
      </c>
      <c r="I468">
        <v>6.67</v>
      </c>
      <c r="J468">
        <v>7.5</v>
      </c>
      <c r="K468">
        <v>13</v>
      </c>
      <c r="L468" s="1">
        <v>9</v>
      </c>
      <c r="M468" t="s">
        <v>46</v>
      </c>
      <c r="N468" s="1" t="s">
        <v>73</v>
      </c>
      <c r="O468">
        <f>L468/N468</f>
        <v>0.6428571428571429</v>
      </c>
      <c r="P468" s="1">
        <v>168</v>
      </c>
      <c r="Q468" s="1">
        <f>L468-N468</f>
        <v>-5</v>
      </c>
      <c r="R468" s="1">
        <v>180</v>
      </c>
      <c r="S468">
        <f>SUM(P468,R468)</f>
        <v>348</v>
      </c>
    </row>
    <row r="469" spans="1:19" x14ac:dyDescent="0.45">
      <c r="A469">
        <v>7172</v>
      </c>
      <c r="B469" t="s">
        <v>704</v>
      </c>
      <c r="C469" t="s">
        <v>15</v>
      </c>
      <c r="D469" t="s">
        <v>62</v>
      </c>
      <c r="E469">
        <v>19</v>
      </c>
      <c r="F469" t="s">
        <v>108</v>
      </c>
      <c r="G469" t="s">
        <v>109</v>
      </c>
      <c r="H469">
        <v>0</v>
      </c>
      <c r="I469">
        <v>0</v>
      </c>
      <c r="J469">
        <v>0</v>
      </c>
      <c r="K469">
        <v>1</v>
      </c>
      <c r="L469" s="1">
        <v>1</v>
      </c>
      <c r="M469" t="s">
        <v>42</v>
      </c>
      <c r="N469" s="1" t="s">
        <v>30</v>
      </c>
      <c r="O469">
        <f>L469/N469</f>
        <v>0.5</v>
      </c>
      <c r="P469" s="1">
        <v>195</v>
      </c>
      <c r="Q469" s="1">
        <f>L469-N469</f>
        <v>-1</v>
      </c>
      <c r="R469" s="1">
        <v>154</v>
      </c>
      <c r="S469">
        <f>SUM(P469,R469)</f>
        <v>349</v>
      </c>
    </row>
    <row r="470" spans="1:19" x14ac:dyDescent="0.45">
      <c r="A470">
        <v>6485</v>
      </c>
      <c r="B470" t="s">
        <v>322</v>
      </c>
      <c r="C470" t="s">
        <v>15</v>
      </c>
      <c r="D470" t="s">
        <v>93</v>
      </c>
      <c r="E470">
        <v>24</v>
      </c>
      <c r="F470" t="s">
        <v>37</v>
      </c>
      <c r="G470" t="s">
        <v>178</v>
      </c>
      <c r="H470">
        <v>0</v>
      </c>
      <c r="I470">
        <v>0</v>
      </c>
      <c r="J470">
        <v>0</v>
      </c>
      <c r="K470">
        <v>10</v>
      </c>
      <c r="L470" s="1">
        <v>6</v>
      </c>
      <c r="M470" t="s">
        <v>69</v>
      </c>
      <c r="N470" s="1" t="s">
        <v>152</v>
      </c>
      <c r="O470">
        <f>L470/N470</f>
        <v>0.6</v>
      </c>
      <c r="P470" s="1">
        <v>174</v>
      </c>
      <c r="Q470" s="1">
        <f>L470-N470</f>
        <v>-4</v>
      </c>
      <c r="R470" s="1">
        <v>175</v>
      </c>
      <c r="S470">
        <f>SUM(P470,R470)</f>
        <v>349</v>
      </c>
    </row>
    <row r="471" spans="1:19" x14ac:dyDescent="0.45">
      <c r="A471">
        <v>6884</v>
      </c>
      <c r="B471" t="s">
        <v>129</v>
      </c>
      <c r="C471" t="s">
        <v>15</v>
      </c>
      <c r="D471" t="s">
        <v>66</v>
      </c>
      <c r="E471">
        <v>24</v>
      </c>
      <c r="F471" t="s">
        <v>33</v>
      </c>
      <c r="G471" t="s">
        <v>63</v>
      </c>
      <c r="H471">
        <v>3</v>
      </c>
      <c r="I471">
        <v>6.5</v>
      </c>
      <c r="J471">
        <v>6.83</v>
      </c>
      <c r="K471">
        <v>35</v>
      </c>
      <c r="L471" s="1">
        <v>13</v>
      </c>
      <c r="M471" t="s">
        <v>72</v>
      </c>
      <c r="N471" s="1" t="s">
        <v>130</v>
      </c>
      <c r="O471">
        <f>L471/N471</f>
        <v>0.68421052631578949</v>
      </c>
      <c r="P471" s="1">
        <v>166</v>
      </c>
      <c r="Q471" s="1">
        <f>L471-N471</f>
        <v>-6</v>
      </c>
      <c r="R471" s="1">
        <v>184</v>
      </c>
      <c r="S471">
        <f>SUM(P471,R471)</f>
        <v>350</v>
      </c>
    </row>
    <row r="472" spans="1:19" x14ac:dyDescent="0.45">
      <c r="A472">
        <v>2188</v>
      </c>
      <c r="B472" t="s">
        <v>331</v>
      </c>
      <c r="C472" t="s">
        <v>15</v>
      </c>
      <c r="D472" t="s">
        <v>77</v>
      </c>
      <c r="E472">
        <v>34</v>
      </c>
      <c r="F472" t="s">
        <v>37</v>
      </c>
      <c r="G472" t="s">
        <v>332</v>
      </c>
      <c r="H472">
        <v>1</v>
      </c>
      <c r="I472">
        <v>6</v>
      </c>
      <c r="J472">
        <v>6</v>
      </c>
      <c r="K472">
        <v>10</v>
      </c>
      <c r="L472" s="1">
        <v>6</v>
      </c>
      <c r="M472" t="s">
        <v>69</v>
      </c>
      <c r="N472" s="1" t="s">
        <v>152</v>
      </c>
      <c r="O472">
        <f>L472/N472</f>
        <v>0.6</v>
      </c>
      <c r="P472" s="1">
        <v>175</v>
      </c>
      <c r="Q472" s="1">
        <f>L472-N472</f>
        <v>-4</v>
      </c>
      <c r="R472" s="1">
        <v>176</v>
      </c>
      <c r="S472">
        <f>SUM(P472,R472)</f>
        <v>351</v>
      </c>
    </row>
    <row r="473" spans="1:19" x14ac:dyDescent="0.45">
      <c r="A473">
        <v>4199</v>
      </c>
      <c r="B473" t="s">
        <v>366</v>
      </c>
      <c r="C473" t="s">
        <v>15</v>
      </c>
      <c r="D473" t="s">
        <v>45</v>
      </c>
      <c r="E473">
        <v>30</v>
      </c>
      <c r="F473" t="s">
        <v>33</v>
      </c>
      <c r="G473" t="s">
        <v>49</v>
      </c>
      <c r="H473">
        <v>3</v>
      </c>
      <c r="I473">
        <v>5.83</v>
      </c>
      <c r="J473">
        <v>5.67</v>
      </c>
      <c r="K473">
        <v>8</v>
      </c>
      <c r="L473" s="1">
        <v>4</v>
      </c>
      <c r="M473" t="s">
        <v>42</v>
      </c>
      <c r="N473" s="1" t="s">
        <v>176</v>
      </c>
      <c r="O473">
        <f>L473/N473</f>
        <v>0.5714285714285714</v>
      </c>
      <c r="P473" s="1">
        <v>181</v>
      </c>
      <c r="Q473" s="1">
        <f>L473-N473</f>
        <v>-3</v>
      </c>
      <c r="R473" s="1">
        <v>171</v>
      </c>
      <c r="S473">
        <f>SUM(P473,R473)</f>
        <v>352</v>
      </c>
    </row>
    <row r="474" spans="1:19" x14ac:dyDescent="0.45">
      <c r="A474">
        <v>6925</v>
      </c>
      <c r="B474" t="s">
        <v>472</v>
      </c>
      <c r="C474" t="s">
        <v>15</v>
      </c>
      <c r="D474" t="s">
        <v>80</v>
      </c>
      <c r="E474">
        <v>18</v>
      </c>
      <c r="F474" t="s">
        <v>37</v>
      </c>
      <c r="G474" t="s">
        <v>141</v>
      </c>
      <c r="H474">
        <v>1</v>
      </c>
      <c r="I474">
        <v>6.5</v>
      </c>
      <c r="J474">
        <v>6.5</v>
      </c>
      <c r="K474">
        <v>6</v>
      </c>
      <c r="L474" s="1">
        <v>2</v>
      </c>
      <c r="M474" t="s">
        <v>42</v>
      </c>
      <c r="N474" s="1" t="s">
        <v>233</v>
      </c>
      <c r="O474">
        <f>L474/N474</f>
        <v>0.5</v>
      </c>
      <c r="P474" s="1">
        <v>196</v>
      </c>
      <c r="Q474" s="1">
        <f>L474-N474</f>
        <v>-2</v>
      </c>
      <c r="R474" s="1">
        <v>163</v>
      </c>
      <c r="S474">
        <f>SUM(P474,R474)</f>
        <v>359</v>
      </c>
    </row>
    <row r="475" spans="1:19" x14ac:dyDescent="0.45">
      <c r="A475">
        <v>7449</v>
      </c>
      <c r="B475" t="s">
        <v>431</v>
      </c>
      <c r="C475" t="s">
        <v>15</v>
      </c>
      <c r="D475" t="s">
        <v>221</v>
      </c>
      <c r="E475">
        <v>26</v>
      </c>
      <c r="F475" t="s">
        <v>17</v>
      </c>
      <c r="G475" t="s">
        <v>18</v>
      </c>
      <c r="H475">
        <v>1</v>
      </c>
      <c r="I475">
        <v>5.5</v>
      </c>
      <c r="J475">
        <v>5.5</v>
      </c>
      <c r="K475">
        <v>6</v>
      </c>
      <c r="L475" s="1">
        <v>7</v>
      </c>
      <c r="M475" t="s">
        <v>69</v>
      </c>
      <c r="N475" s="1" t="s">
        <v>166</v>
      </c>
      <c r="O475">
        <f>L475/N475</f>
        <v>0.58333333333333337</v>
      </c>
      <c r="P475" s="1">
        <v>178</v>
      </c>
      <c r="Q475" s="1">
        <f>L475-N475</f>
        <v>-5</v>
      </c>
      <c r="R475" s="1">
        <v>181</v>
      </c>
      <c r="S475">
        <f>SUM(P475,R475)</f>
        <v>359</v>
      </c>
    </row>
    <row r="476" spans="1:19" x14ac:dyDescent="0.45">
      <c r="A476">
        <v>5555</v>
      </c>
      <c r="B476" t="s">
        <v>484</v>
      </c>
      <c r="C476" t="s">
        <v>15</v>
      </c>
      <c r="D476" t="s">
        <v>80</v>
      </c>
      <c r="E476">
        <v>32</v>
      </c>
      <c r="F476" t="s">
        <v>37</v>
      </c>
      <c r="G476" t="s">
        <v>255</v>
      </c>
      <c r="H476">
        <v>3</v>
      </c>
      <c r="I476">
        <v>6.83</v>
      </c>
      <c r="J476">
        <v>8.83</v>
      </c>
      <c r="K476">
        <v>6</v>
      </c>
      <c r="L476" s="1">
        <v>10</v>
      </c>
      <c r="M476" t="s">
        <v>72</v>
      </c>
      <c r="N476" s="1" t="s">
        <v>317</v>
      </c>
      <c r="O476">
        <f>L476/N476</f>
        <v>0.58823529411764708</v>
      </c>
      <c r="P476" s="1">
        <v>177</v>
      </c>
      <c r="Q476" s="1">
        <f>L476-N476</f>
        <v>-7</v>
      </c>
      <c r="R476" s="1">
        <v>186</v>
      </c>
      <c r="S476">
        <f>SUM(P476,R476)</f>
        <v>363</v>
      </c>
    </row>
    <row r="477" spans="1:19" x14ac:dyDescent="0.45">
      <c r="A477">
        <v>152</v>
      </c>
      <c r="B477" t="s">
        <v>192</v>
      </c>
      <c r="C477" t="s">
        <v>15</v>
      </c>
      <c r="D477" t="s">
        <v>22</v>
      </c>
      <c r="E477">
        <v>32</v>
      </c>
      <c r="F477" t="s">
        <v>33</v>
      </c>
      <c r="G477" t="s">
        <v>33</v>
      </c>
      <c r="H477">
        <v>3</v>
      </c>
      <c r="I477">
        <v>6.67</v>
      </c>
      <c r="J477">
        <v>7.67</v>
      </c>
      <c r="K477">
        <v>21</v>
      </c>
      <c r="L477" s="1">
        <v>12</v>
      </c>
      <c r="M477" t="s">
        <v>46</v>
      </c>
      <c r="N477" s="1" t="s">
        <v>193</v>
      </c>
      <c r="O477">
        <f>L477/N477</f>
        <v>0.6</v>
      </c>
      <c r="P477" s="1">
        <v>176</v>
      </c>
      <c r="Q477" s="1">
        <f>L477-N477</f>
        <v>-8</v>
      </c>
      <c r="R477" s="1">
        <v>191</v>
      </c>
      <c r="S477">
        <f>SUM(P477,R477)</f>
        <v>367</v>
      </c>
    </row>
    <row r="478" spans="1:19" x14ac:dyDescent="0.45">
      <c r="A478">
        <v>4705</v>
      </c>
      <c r="B478" t="s">
        <v>487</v>
      </c>
      <c r="C478" t="s">
        <v>15</v>
      </c>
      <c r="D478" t="s">
        <v>16</v>
      </c>
      <c r="E478">
        <v>27</v>
      </c>
      <c r="F478" t="s">
        <v>37</v>
      </c>
      <c r="G478" t="s">
        <v>141</v>
      </c>
      <c r="H478">
        <v>1</v>
      </c>
      <c r="I478">
        <v>6.5</v>
      </c>
      <c r="J478">
        <v>6.5</v>
      </c>
      <c r="K478">
        <v>6</v>
      </c>
      <c r="L478" s="1">
        <v>6</v>
      </c>
      <c r="M478" t="s">
        <v>82</v>
      </c>
      <c r="N478" s="1" t="s">
        <v>203</v>
      </c>
      <c r="O478">
        <f>L478/N478</f>
        <v>0.54545454545454541</v>
      </c>
      <c r="P478" s="1">
        <v>187</v>
      </c>
      <c r="Q478" s="1">
        <f>L478-N478</f>
        <v>-5</v>
      </c>
      <c r="R478" s="1">
        <v>182</v>
      </c>
      <c r="S478">
        <f>SUM(P478,R478)</f>
        <v>369</v>
      </c>
    </row>
    <row r="479" spans="1:19" x14ac:dyDescent="0.45">
      <c r="A479">
        <v>5514</v>
      </c>
      <c r="B479" t="s">
        <v>247</v>
      </c>
      <c r="C479" t="s">
        <v>15</v>
      </c>
      <c r="D479" t="s">
        <v>151</v>
      </c>
      <c r="E479">
        <v>28</v>
      </c>
      <c r="F479" t="s">
        <v>37</v>
      </c>
      <c r="G479" t="s">
        <v>248</v>
      </c>
      <c r="H479">
        <v>3</v>
      </c>
      <c r="I479">
        <v>5.5</v>
      </c>
      <c r="J479">
        <v>5.5</v>
      </c>
      <c r="K479">
        <v>15</v>
      </c>
      <c r="L479" s="1">
        <v>9</v>
      </c>
      <c r="M479" t="s">
        <v>53</v>
      </c>
      <c r="N479" s="1" t="s">
        <v>126</v>
      </c>
      <c r="O479">
        <f>L479/N479</f>
        <v>0.5625</v>
      </c>
      <c r="P479" s="1">
        <v>184</v>
      </c>
      <c r="Q479" s="1">
        <f>L479-N479</f>
        <v>-7</v>
      </c>
      <c r="R479" s="1">
        <v>187</v>
      </c>
      <c r="S479">
        <f>SUM(P479,R479)</f>
        <v>371</v>
      </c>
    </row>
    <row r="480" spans="1:19" x14ac:dyDescent="0.45">
      <c r="A480">
        <v>530</v>
      </c>
      <c r="B480" t="s">
        <v>318</v>
      </c>
      <c r="C480" t="s">
        <v>15</v>
      </c>
      <c r="D480" t="s">
        <v>16</v>
      </c>
      <c r="E480">
        <v>30</v>
      </c>
      <c r="F480" t="s">
        <v>33</v>
      </c>
      <c r="G480" t="s">
        <v>49</v>
      </c>
      <c r="H480">
        <v>0</v>
      </c>
      <c r="I480">
        <v>0</v>
      </c>
      <c r="J480">
        <v>0</v>
      </c>
      <c r="K480">
        <v>10</v>
      </c>
      <c r="L480" s="1">
        <v>9</v>
      </c>
      <c r="M480" t="s">
        <v>82</v>
      </c>
      <c r="N480" s="1" t="s">
        <v>126</v>
      </c>
      <c r="O480">
        <f>L480/N480</f>
        <v>0.5625</v>
      </c>
      <c r="P480" s="1">
        <v>185</v>
      </c>
      <c r="Q480" s="1">
        <f>L480-N480</f>
        <v>-7</v>
      </c>
      <c r="R480" s="1">
        <v>188</v>
      </c>
      <c r="S480">
        <f>SUM(P480,R480)</f>
        <v>373</v>
      </c>
    </row>
    <row r="481" spans="1:19" x14ac:dyDescent="0.45">
      <c r="A481">
        <v>7625</v>
      </c>
      <c r="B481" t="s">
        <v>170</v>
      </c>
      <c r="C481" t="s">
        <v>15</v>
      </c>
      <c r="D481" t="s">
        <v>123</v>
      </c>
      <c r="E481">
        <v>28</v>
      </c>
      <c r="F481" t="s">
        <v>33</v>
      </c>
      <c r="G481" t="s">
        <v>171</v>
      </c>
      <c r="H481">
        <v>0</v>
      </c>
      <c r="I481">
        <v>0</v>
      </c>
      <c r="J481">
        <v>0</v>
      </c>
      <c r="K481">
        <v>24</v>
      </c>
      <c r="L481" s="1">
        <v>12</v>
      </c>
      <c r="M481" t="s">
        <v>50</v>
      </c>
      <c r="N481" s="1" t="s">
        <v>172</v>
      </c>
      <c r="O481">
        <f>L481/N481</f>
        <v>0.5714285714285714</v>
      </c>
      <c r="P481" s="1">
        <v>180</v>
      </c>
      <c r="Q481" s="1">
        <f>L481-N481</f>
        <v>-9</v>
      </c>
      <c r="R481" s="1">
        <v>196</v>
      </c>
      <c r="S481">
        <f>SUM(P481,R481)</f>
        <v>376</v>
      </c>
    </row>
    <row r="482" spans="1:19" x14ac:dyDescent="0.45">
      <c r="A482">
        <v>7612</v>
      </c>
      <c r="B482" t="s">
        <v>354</v>
      </c>
      <c r="C482" t="s">
        <v>15</v>
      </c>
      <c r="D482" t="s">
        <v>148</v>
      </c>
      <c r="E482">
        <v>25</v>
      </c>
      <c r="F482" t="s">
        <v>17</v>
      </c>
      <c r="G482" t="s">
        <v>18</v>
      </c>
      <c r="H482">
        <v>0</v>
      </c>
      <c r="I482">
        <v>0</v>
      </c>
      <c r="J482">
        <v>0</v>
      </c>
      <c r="K482">
        <v>8</v>
      </c>
      <c r="L482" s="1">
        <v>8</v>
      </c>
      <c r="M482" t="s">
        <v>23</v>
      </c>
      <c r="N482" s="1" t="s">
        <v>91</v>
      </c>
      <c r="O482">
        <f>L482/N482</f>
        <v>0.53333333333333333</v>
      </c>
      <c r="P482" s="1">
        <v>189</v>
      </c>
      <c r="Q482" s="1">
        <f>L482-N482</f>
        <v>-7</v>
      </c>
      <c r="R482" s="1">
        <v>189</v>
      </c>
      <c r="S482">
        <f>SUM(P482,R482)</f>
        <v>378</v>
      </c>
    </row>
    <row r="483" spans="1:19" x14ac:dyDescent="0.45">
      <c r="A483">
        <v>2606</v>
      </c>
      <c r="B483" t="s">
        <v>181</v>
      </c>
      <c r="C483" t="s">
        <v>15</v>
      </c>
      <c r="D483" t="s">
        <v>45</v>
      </c>
      <c r="E483">
        <v>41</v>
      </c>
      <c r="F483" t="s">
        <v>33</v>
      </c>
      <c r="G483" t="s">
        <v>41</v>
      </c>
      <c r="H483">
        <v>3</v>
      </c>
      <c r="I483">
        <v>6</v>
      </c>
      <c r="J483">
        <v>6</v>
      </c>
      <c r="K483">
        <v>23</v>
      </c>
      <c r="L483" s="1">
        <v>12</v>
      </c>
      <c r="M483" t="s">
        <v>56</v>
      </c>
      <c r="N483" s="1" t="s">
        <v>172</v>
      </c>
      <c r="O483">
        <f>L483/N483</f>
        <v>0.5714285714285714</v>
      </c>
      <c r="P483" s="1">
        <v>182</v>
      </c>
      <c r="Q483" s="1">
        <f>L483-N483</f>
        <v>-9</v>
      </c>
      <c r="R483" s="1">
        <v>197</v>
      </c>
      <c r="S483">
        <f>SUM(P483,R483)</f>
        <v>379</v>
      </c>
    </row>
    <row r="484" spans="1:19" x14ac:dyDescent="0.45">
      <c r="A484">
        <v>2514</v>
      </c>
      <c r="B484" t="s">
        <v>299</v>
      </c>
      <c r="C484" t="s">
        <v>15</v>
      </c>
      <c r="D484" t="s">
        <v>22</v>
      </c>
      <c r="E484">
        <v>32</v>
      </c>
      <c r="F484" t="s">
        <v>37</v>
      </c>
      <c r="G484" t="s">
        <v>141</v>
      </c>
      <c r="H484">
        <v>2</v>
      </c>
      <c r="I484">
        <v>6</v>
      </c>
      <c r="J484">
        <v>6</v>
      </c>
      <c r="K484">
        <v>11</v>
      </c>
      <c r="L484" s="1">
        <v>12</v>
      </c>
      <c r="M484" t="s">
        <v>50</v>
      </c>
      <c r="N484" s="1" t="s">
        <v>172</v>
      </c>
      <c r="O484">
        <f>L484/N484</f>
        <v>0.5714285714285714</v>
      </c>
      <c r="P484" s="1">
        <v>183</v>
      </c>
      <c r="Q484" s="1">
        <f>L484-N484</f>
        <v>-9</v>
      </c>
      <c r="R484" s="1">
        <v>198</v>
      </c>
      <c r="S484">
        <f>SUM(P484,R484)</f>
        <v>381</v>
      </c>
    </row>
    <row r="485" spans="1:19" x14ac:dyDescent="0.45">
      <c r="A485">
        <v>5878</v>
      </c>
      <c r="B485" t="s">
        <v>359</v>
      </c>
      <c r="C485" t="s">
        <v>15</v>
      </c>
      <c r="D485" t="s">
        <v>211</v>
      </c>
      <c r="E485">
        <v>27</v>
      </c>
      <c r="F485" t="s">
        <v>33</v>
      </c>
      <c r="G485" t="s">
        <v>59</v>
      </c>
      <c r="H485">
        <v>3</v>
      </c>
      <c r="I485">
        <v>5.83</v>
      </c>
      <c r="J485">
        <v>6.83</v>
      </c>
      <c r="K485">
        <v>8</v>
      </c>
      <c r="L485" s="1">
        <v>9</v>
      </c>
      <c r="M485" t="s">
        <v>19</v>
      </c>
      <c r="N485" s="1" t="s">
        <v>317</v>
      </c>
      <c r="O485">
        <f>L485/N485</f>
        <v>0.52941176470588236</v>
      </c>
      <c r="P485" s="1">
        <v>190</v>
      </c>
      <c r="Q485" s="1">
        <f>L485-N485</f>
        <v>-8</v>
      </c>
      <c r="R485" s="1">
        <v>192</v>
      </c>
      <c r="S485">
        <f>SUM(P485,R485)</f>
        <v>382</v>
      </c>
    </row>
    <row r="486" spans="1:19" x14ac:dyDescent="0.45">
      <c r="A486">
        <v>4159</v>
      </c>
      <c r="B486" t="s">
        <v>182</v>
      </c>
      <c r="C486" t="s">
        <v>15</v>
      </c>
      <c r="D486" t="s">
        <v>22</v>
      </c>
      <c r="E486">
        <v>31</v>
      </c>
      <c r="F486" t="s">
        <v>37</v>
      </c>
      <c r="G486" t="s">
        <v>141</v>
      </c>
      <c r="H486">
        <v>3</v>
      </c>
      <c r="I486">
        <v>5.83</v>
      </c>
      <c r="J486">
        <v>6</v>
      </c>
      <c r="K486">
        <v>23</v>
      </c>
      <c r="L486" s="1">
        <v>15</v>
      </c>
      <c r="M486" t="s">
        <v>82</v>
      </c>
      <c r="N486" s="1" t="s">
        <v>183</v>
      </c>
      <c r="O486">
        <f>L486/N486</f>
        <v>0.57692307692307687</v>
      </c>
      <c r="P486" s="1">
        <v>179</v>
      </c>
      <c r="Q486" s="1">
        <f>L486-N486</f>
        <v>-11</v>
      </c>
      <c r="R486" s="1">
        <v>204</v>
      </c>
      <c r="S486">
        <f>SUM(P486,R486)</f>
        <v>383</v>
      </c>
    </row>
    <row r="487" spans="1:19" x14ac:dyDescent="0.45">
      <c r="A487">
        <v>4664</v>
      </c>
      <c r="B487" t="s">
        <v>353</v>
      </c>
      <c r="C487" t="s">
        <v>15</v>
      </c>
      <c r="D487" t="s">
        <v>26</v>
      </c>
      <c r="E487">
        <v>25</v>
      </c>
      <c r="F487" t="s">
        <v>37</v>
      </c>
      <c r="G487" t="s">
        <v>141</v>
      </c>
      <c r="H487">
        <v>1</v>
      </c>
      <c r="I487">
        <v>5</v>
      </c>
      <c r="J487">
        <v>5</v>
      </c>
      <c r="K487">
        <v>9</v>
      </c>
      <c r="L487" s="1">
        <v>6</v>
      </c>
      <c r="M487" t="s">
        <v>69</v>
      </c>
      <c r="N487" s="1" t="s">
        <v>166</v>
      </c>
      <c r="O487">
        <f>L487/N487</f>
        <v>0.5</v>
      </c>
      <c r="P487" s="1">
        <v>200</v>
      </c>
      <c r="Q487" s="1">
        <f>L487-N487</f>
        <v>-6</v>
      </c>
      <c r="R487" s="1">
        <v>185</v>
      </c>
      <c r="S487">
        <f>SUM(P487,R487)</f>
        <v>385</v>
      </c>
    </row>
    <row r="488" spans="1:19" x14ac:dyDescent="0.45">
      <c r="A488">
        <v>4976</v>
      </c>
      <c r="B488" t="s">
        <v>177</v>
      </c>
      <c r="C488" t="s">
        <v>15</v>
      </c>
      <c r="D488" t="s">
        <v>66</v>
      </c>
      <c r="E488">
        <v>26</v>
      </c>
      <c r="F488" t="s">
        <v>37</v>
      </c>
      <c r="G488" t="s">
        <v>178</v>
      </c>
      <c r="H488">
        <v>3</v>
      </c>
      <c r="I488">
        <v>6.5</v>
      </c>
      <c r="J488">
        <v>6.5</v>
      </c>
      <c r="K488">
        <v>24</v>
      </c>
      <c r="L488" s="1">
        <v>14</v>
      </c>
      <c r="M488" t="s">
        <v>90</v>
      </c>
      <c r="N488" s="1" t="s">
        <v>155</v>
      </c>
      <c r="O488">
        <f>L488/N488</f>
        <v>0.56000000000000005</v>
      </c>
      <c r="P488" s="1">
        <v>186</v>
      </c>
      <c r="Q488" s="1">
        <f>L488-N488</f>
        <v>-11</v>
      </c>
      <c r="R488" s="1">
        <v>205</v>
      </c>
      <c r="S488">
        <f>SUM(P488,R488)</f>
        <v>391</v>
      </c>
    </row>
    <row r="489" spans="1:19" x14ac:dyDescent="0.45">
      <c r="A489">
        <v>5680</v>
      </c>
      <c r="B489" t="s">
        <v>264</v>
      </c>
      <c r="C489" t="s">
        <v>15</v>
      </c>
      <c r="D489" t="s">
        <v>66</v>
      </c>
      <c r="E489">
        <v>24</v>
      </c>
      <c r="F489" t="s">
        <v>33</v>
      </c>
      <c r="G489" t="s">
        <v>41</v>
      </c>
      <c r="H489">
        <v>0</v>
      </c>
      <c r="I489">
        <v>0</v>
      </c>
      <c r="J489">
        <v>0</v>
      </c>
      <c r="K489">
        <v>13</v>
      </c>
      <c r="L489" s="1">
        <v>7</v>
      </c>
      <c r="M489" t="s">
        <v>53</v>
      </c>
      <c r="N489" s="1" t="s">
        <v>91</v>
      </c>
      <c r="O489">
        <f>L489/N489</f>
        <v>0.46666666666666667</v>
      </c>
      <c r="P489" s="1">
        <v>204</v>
      </c>
      <c r="Q489" s="1">
        <f>L489-N489</f>
        <v>-8</v>
      </c>
      <c r="R489" s="1">
        <v>193</v>
      </c>
      <c r="S489">
        <f>SUM(P489,R489)</f>
        <v>397</v>
      </c>
    </row>
    <row r="490" spans="1:19" x14ac:dyDescent="0.45">
      <c r="A490">
        <v>6869</v>
      </c>
      <c r="B490" t="s">
        <v>235</v>
      </c>
      <c r="C490" t="s">
        <v>15</v>
      </c>
      <c r="D490" t="s">
        <v>32</v>
      </c>
      <c r="E490">
        <v>21</v>
      </c>
      <c r="F490" t="s">
        <v>37</v>
      </c>
      <c r="G490" t="s">
        <v>141</v>
      </c>
      <c r="H490">
        <v>3</v>
      </c>
      <c r="I490">
        <v>6</v>
      </c>
      <c r="J490">
        <v>6</v>
      </c>
      <c r="K490">
        <v>16</v>
      </c>
      <c r="L490" s="1">
        <v>10</v>
      </c>
      <c r="M490" t="s">
        <v>53</v>
      </c>
      <c r="N490" s="1" t="s">
        <v>193</v>
      </c>
      <c r="O490">
        <f>L490/N490</f>
        <v>0.5</v>
      </c>
      <c r="P490" s="1">
        <v>197</v>
      </c>
      <c r="Q490" s="1">
        <f>L490-N490</f>
        <v>-10</v>
      </c>
      <c r="R490" s="1">
        <v>200</v>
      </c>
      <c r="S490">
        <f>SUM(P490,R490)</f>
        <v>397</v>
      </c>
    </row>
    <row r="491" spans="1:19" x14ac:dyDescent="0.45">
      <c r="A491">
        <v>6684</v>
      </c>
      <c r="B491" t="s">
        <v>143</v>
      </c>
      <c r="C491" t="s">
        <v>15</v>
      </c>
      <c r="D491" t="s">
        <v>80</v>
      </c>
      <c r="E491">
        <v>26</v>
      </c>
      <c r="F491" t="s">
        <v>33</v>
      </c>
      <c r="G491" t="s">
        <v>49</v>
      </c>
      <c r="H491">
        <v>3</v>
      </c>
      <c r="I491">
        <v>6.5</v>
      </c>
      <c r="J491">
        <v>7.83</v>
      </c>
      <c r="K491">
        <v>29</v>
      </c>
      <c r="L491" s="1">
        <v>12</v>
      </c>
      <c r="M491" t="s">
        <v>56</v>
      </c>
      <c r="N491" s="1" t="s">
        <v>144</v>
      </c>
      <c r="O491">
        <f>L491/N491</f>
        <v>0.52173913043478259</v>
      </c>
      <c r="P491" s="1">
        <v>191</v>
      </c>
      <c r="Q491" s="1">
        <f>L491-N491</f>
        <v>-11</v>
      </c>
      <c r="R491" s="1">
        <v>206</v>
      </c>
      <c r="S491">
        <f>SUM(P491,R491)</f>
        <v>397</v>
      </c>
    </row>
    <row r="492" spans="1:19" x14ac:dyDescent="0.45">
      <c r="A492">
        <v>4777</v>
      </c>
      <c r="B492" t="s">
        <v>48</v>
      </c>
      <c r="C492" t="s">
        <v>15</v>
      </c>
      <c r="D492" t="s">
        <v>26</v>
      </c>
      <c r="E492">
        <v>30</v>
      </c>
      <c r="F492" t="s">
        <v>33</v>
      </c>
      <c r="G492" t="s">
        <v>49</v>
      </c>
      <c r="H492">
        <v>2</v>
      </c>
      <c r="I492">
        <v>5.75</v>
      </c>
      <c r="J492">
        <v>5.75</v>
      </c>
      <c r="K492">
        <v>95</v>
      </c>
      <c r="L492" s="1">
        <v>26</v>
      </c>
      <c r="M492" t="s">
        <v>50</v>
      </c>
      <c r="N492" s="1" t="s">
        <v>51</v>
      </c>
      <c r="O492">
        <f>L492/N492</f>
        <v>0.60465116279069764</v>
      </c>
      <c r="P492" s="1">
        <v>172</v>
      </c>
      <c r="Q492" s="1">
        <f>L492-N492</f>
        <v>-17</v>
      </c>
      <c r="R492" s="1">
        <v>226</v>
      </c>
      <c r="S492">
        <f>SUM(P492,R492)</f>
        <v>398</v>
      </c>
    </row>
    <row r="493" spans="1:19" x14ac:dyDescent="0.45">
      <c r="A493">
        <v>5844</v>
      </c>
      <c r="B493" t="s">
        <v>226</v>
      </c>
      <c r="C493" t="s">
        <v>15</v>
      </c>
      <c r="D493" t="s">
        <v>85</v>
      </c>
      <c r="E493">
        <v>27</v>
      </c>
      <c r="F493" t="s">
        <v>33</v>
      </c>
      <c r="G493" t="s">
        <v>49</v>
      </c>
      <c r="H493">
        <v>3</v>
      </c>
      <c r="I493">
        <v>6</v>
      </c>
      <c r="J493">
        <v>6</v>
      </c>
      <c r="K493">
        <v>17</v>
      </c>
      <c r="L493" s="1">
        <v>10</v>
      </c>
      <c r="M493" t="s">
        <v>69</v>
      </c>
      <c r="N493" s="1" t="s">
        <v>193</v>
      </c>
      <c r="O493">
        <f>L493/N493</f>
        <v>0.5</v>
      </c>
      <c r="P493" s="1">
        <v>198</v>
      </c>
      <c r="Q493" s="1">
        <f>L493-N493</f>
        <v>-10</v>
      </c>
      <c r="R493" s="1">
        <v>201</v>
      </c>
      <c r="S493">
        <f>SUM(P493,R493)</f>
        <v>399</v>
      </c>
    </row>
    <row r="494" spans="1:19" x14ac:dyDescent="0.45">
      <c r="A494">
        <v>5172</v>
      </c>
      <c r="B494" t="s">
        <v>191</v>
      </c>
      <c r="C494" t="s">
        <v>15</v>
      </c>
      <c r="D494" t="s">
        <v>22</v>
      </c>
      <c r="E494">
        <v>25</v>
      </c>
      <c r="F494" t="s">
        <v>33</v>
      </c>
      <c r="G494" t="s">
        <v>33</v>
      </c>
      <c r="H494">
        <v>2</v>
      </c>
      <c r="I494">
        <v>6</v>
      </c>
      <c r="J494">
        <v>6</v>
      </c>
      <c r="K494">
        <v>21</v>
      </c>
      <c r="L494" s="1">
        <v>12</v>
      </c>
      <c r="M494" t="s">
        <v>27</v>
      </c>
      <c r="N494" s="1" t="s">
        <v>144</v>
      </c>
      <c r="O494">
        <f>L494/N494</f>
        <v>0.52173913043478259</v>
      </c>
      <c r="P494" s="1">
        <v>192</v>
      </c>
      <c r="Q494" s="1">
        <f>L494-N494</f>
        <v>-11</v>
      </c>
      <c r="R494" s="1">
        <v>207</v>
      </c>
      <c r="S494">
        <f>SUM(P494,R494)</f>
        <v>399</v>
      </c>
    </row>
    <row r="495" spans="1:19" x14ac:dyDescent="0.45">
      <c r="A495">
        <v>2816</v>
      </c>
      <c r="B495" t="s">
        <v>207</v>
      </c>
      <c r="C495" t="s">
        <v>15</v>
      </c>
      <c r="D495" t="s">
        <v>26</v>
      </c>
      <c r="E495">
        <v>33</v>
      </c>
      <c r="F495" t="s">
        <v>37</v>
      </c>
      <c r="G495" t="s">
        <v>208</v>
      </c>
      <c r="H495">
        <v>3</v>
      </c>
      <c r="I495">
        <v>6</v>
      </c>
      <c r="J495">
        <v>6.17</v>
      </c>
      <c r="K495">
        <v>19</v>
      </c>
      <c r="L495" s="1">
        <v>12</v>
      </c>
      <c r="M495" t="s">
        <v>42</v>
      </c>
      <c r="N495" s="1" t="s">
        <v>144</v>
      </c>
      <c r="O495">
        <f>L495/N495</f>
        <v>0.52173913043478259</v>
      </c>
      <c r="P495" s="1">
        <v>193</v>
      </c>
      <c r="Q495" s="1">
        <f>L495-N495</f>
        <v>-11</v>
      </c>
      <c r="R495" s="1">
        <v>208</v>
      </c>
      <c r="S495">
        <f>SUM(P495,R495)</f>
        <v>401</v>
      </c>
    </row>
    <row r="496" spans="1:19" x14ac:dyDescent="0.45">
      <c r="A496">
        <v>7526</v>
      </c>
      <c r="B496" t="s">
        <v>404</v>
      </c>
      <c r="C496" t="s">
        <v>15</v>
      </c>
      <c r="D496" t="s">
        <v>121</v>
      </c>
      <c r="E496">
        <v>28</v>
      </c>
      <c r="F496" t="s">
        <v>37</v>
      </c>
      <c r="G496" t="s">
        <v>141</v>
      </c>
      <c r="H496">
        <v>2</v>
      </c>
      <c r="I496">
        <v>6.25</v>
      </c>
      <c r="J496">
        <v>6.75</v>
      </c>
      <c r="K496">
        <v>7</v>
      </c>
      <c r="L496" s="1">
        <v>5</v>
      </c>
      <c r="M496" t="s">
        <v>69</v>
      </c>
      <c r="N496" s="1" t="s">
        <v>166</v>
      </c>
      <c r="O496">
        <f>L496/N496</f>
        <v>0.41666666666666669</v>
      </c>
      <c r="P496" s="1">
        <v>214</v>
      </c>
      <c r="Q496" s="1">
        <f>L496-N496</f>
        <v>-7</v>
      </c>
      <c r="R496" s="1">
        <v>190</v>
      </c>
      <c r="S496">
        <f>SUM(P496,R496)</f>
        <v>404</v>
      </c>
    </row>
    <row r="497" spans="1:19" x14ac:dyDescent="0.45">
      <c r="A497">
        <v>5507</v>
      </c>
      <c r="B497" t="s">
        <v>402</v>
      </c>
      <c r="C497" t="s">
        <v>15</v>
      </c>
      <c r="D497" t="s">
        <v>221</v>
      </c>
      <c r="E497">
        <v>24</v>
      </c>
      <c r="F497" t="s">
        <v>33</v>
      </c>
      <c r="G497" t="s">
        <v>41</v>
      </c>
      <c r="H497">
        <v>4</v>
      </c>
      <c r="I497">
        <v>6.12</v>
      </c>
      <c r="J497">
        <v>6.5</v>
      </c>
      <c r="K497">
        <v>7</v>
      </c>
      <c r="L497" s="1">
        <v>6</v>
      </c>
      <c r="M497" t="s">
        <v>72</v>
      </c>
      <c r="N497" s="1" t="s">
        <v>73</v>
      </c>
      <c r="O497">
        <f>L497/N497</f>
        <v>0.42857142857142855</v>
      </c>
      <c r="P497" s="1">
        <v>211</v>
      </c>
      <c r="Q497" s="1">
        <f>L497-N497</f>
        <v>-8</v>
      </c>
      <c r="R497" s="1">
        <v>194</v>
      </c>
      <c r="S497">
        <f>SUM(P497,R497)</f>
        <v>405</v>
      </c>
    </row>
    <row r="498" spans="1:19" x14ac:dyDescent="0.45">
      <c r="A498">
        <v>7337</v>
      </c>
      <c r="B498" t="s">
        <v>703</v>
      </c>
      <c r="C498" t="s">
        <v>15</v>
      </c>
      <c r="D498" t="s">
        <v>77</v>
      </c>
      <c r="E498">
        <v>21</v>
      </c>
      <c r="F498" t="s">
        <v>108</v>
      </c>
      <c r="G498" t="s">
        <v>109</v>
      </c>
      <c r="H498">
        <v>0</v>
      </c>
      <c r="I498">
        <v>0</v>
      </c>
      <c r="J498">
        <v>0</v>
      </c>
      <c r="K498">
        <v>1</v>
      </c>
      <c r="L498" s="1">
        <v>1</v>
      </c>
      <c r="M498" t="s">
        <v>72</v>
      </c>
      <c r="N498" s="1" t="s">
        <v>114</v>
      </c>
      <c r="O498">
        <f>L498/N498</f>
        <v>0.33333333333333331</v>
      </c>
      <c r="P498" s="1">
        <v>244</v>
      </c>
      <c r="Q498" s="1">
        <f>L498-N498</f>
        <v>-2</v>
      </c>
      <c r="R498" s="1">
        <v>164</v>
      </c>
      <c r="S498">
        <f>SUM(P498,R498)</f>
        <v>408</v>
      </c>
    </row>
    <row r="499" spans="1:19" x14ac:dyDescent="0.45">
      <c r="A499">
        <v>6662</v>
      </c>
      <c r="B499" t="s">
        <v>539</v>
      </c>
      <c r="C499" t="s">
        <v>15</v>
      </c>
      <c r="D499" t="s">
        <v>223</v>
      </c>
      <c r="E499">
        <v>25</v>
      </c>
      <c r="F499" t="s">
        <v>108</v>
      </c>
      <c r="G499" t="s">
        <v>109</v>
      </c>
      <c r="H499">
        <v>3</v>
      </c>
      <c r="I499">
        <v>6.17</v>
      </c>
      <c r="J499">
        <v>4.83</v>
      </c>
      <c r="K499">
        <v>5</v>
      </c>
      <c r="L499" s="1">
        <v>3</v>
      </c>
      <c r="M499" t="s">
        <v>90</v>
      </c>
      <c r="N499" s="1" t="s">
        <v>164</v>
      </c>
      <c r="O499">
        <f>L499/N499</f>
        <v>0.375</v>
      </c>
      <c r="P499" s="1">
        <v>229</v>
      </c>
      <c r="Q499" s="1">
        <f>L499-N499</f>
        <v>-5</v>
      </c>
      <c r="R499" s="1">
        <v>183</v>
      </c>
      <c r="S499">
        <f>SUM(P499,R499)</f>
        <v>412</v>
      </c>
    </row>
    <row r="500" spans="1:19" x14ac:dyDescent="0.45">
      <c r="A500">
        <v>1933</v>
      </c>
      <c r="B500" t="s">
        <v>215</v>
      </c>
      <c r="C500" t="s">
        <v>15</v>
      </c>
      <c r="D500" t="s">
        <v>121</v>
      </c>
      <c r="E500">
        <v>29</v>
      </c>
      <c r="F500" t="s">
        <v>33</v>
      </c>
      <c r="G500" t="s">
        <v>33</v>
      </c>
      <c r="H500">
        <v>3</v>
      </c>
      <c r="I500">
        <v>6</v>
      </c>
      <c r="J500">
        <v>7</v>
      </c>
      <c r="K500">
        <v>18</v>
      </c>
      <c r="L500" s="1">
        <v>10</v>
      </c>
      <c r="M500" t="s">
        <v>56</v>
      </c>
      <c r="N500" s="1" t="s">
        <v>172</v>
      </c>
      <c r="O500">
        <f>L500/N500</f>
        <v>0.47619047619047616</v>
      </c>
      <c r="P500" s="1">
        <v>203</v>
      </c>
      <c r="Q500" s="1">
        <f>L500-N500</f>
        <v>-11</v>
      </c>
      <c r="R500" s="1">
        <v>209</v>
      </c>
      <c r="S500">
        <f>SUM(P500,R500)</f>
        <v>412</v>
      </c>
    </row>
    <row r="501" spans="1:19" x14ac:dyDescent="0.45">
      <c r="A501">
        <v>7412</v>
      </c>
      <c r="B501" t="s">
        <v>251</v>
      </c>
      <c r="C501" t="s">
        <v>15</v>
      </c>
      <c r="D501" t="s">
        <v>32</v>
      </c>
      <c r="E501">
        <v>32</v>
      </c>
      <c r="F501" t="s">
        <v>33</v>
      </c>
      <c r="G501" t="s">
        <v>41</v>
      </c>
      <c r="H501">
        <v>2</v>
      </c>
      <c r="I501">
        <v>6.75</v>
      </c>
      <c r="J501">
        <v>6.75</v>
      </c>
      <c r="K501">
        <v>14</v>
      </c>
      <c r="L501" s="1">
        <v>6</v>
      </c>
      <c r="M501" t="s">
        <v>27</v>
      </c>
      <c r="N501" s="1" t="s">
        <v>91</v>
      </c>
      <c r="O501">
        <f>L501/N501</f>
        <v>0.4</v>
      </c>
      <c r="P501" s="1">
        <v>218</v>
      </c>
      <c r="Q501" s="1">
        <f>L501-N501</f>
        <v>-9</v>
      </c>
      <c r="R501" s="1">
        <v>199</v>
      </c>
      <c r="S501">
        <f>SUM(P501,R501)</f>
        <v>417</v>
      </c>
    </row>
    <row r="502" spans="1:19" x14ac:dyDescent="0.45">
      <c r="A502">
        <v>5833</v>
      </c>
      <c r="B502" t="s">
        <v>238</v>
      </c>
      <c r="C502" t="s">
        <v>15</v>
      </c>
      <c r="D502" t="s">
        <v>45</v>
      </c>
      <c r="E502">
        <v>26</v>
      </c>
      <c r="F502" t="s">
        <v>37</v>
      </c>
      <c r="G502" t="s">
        <v>141</v>
      </c>
      <c r="H502">
        <v>3</v>
      </c>
      <c r="I502">
        <v>6.5</v>
      </c>
      <c r="J502">
        <v>6.5</v>
      </c>
      <c r="K502">
        <v>16</v>
      </c>
      <c r="L502" s="1">
        <v>13</v>
      </c>
      <c r="M502" t="s">
        <v>56</v>
      </c>
      <c r="N502" s="1" t="s">
        <v>183</v>
      </c>
      <c r="O502">
        <f>L502/N502</f>
        <v>0.5</v>
      </c>
      <c r="P502" s="1">
        <v>199</v>
      </c>
      <c r="Q502" s="1">
        <f>L502-N502</f>
        <v>-13</v>
      </c>
      <c r="R502" s="1">
        <v>218</v>
      </c>
      <c r="S502">
        <f>SUM(P502,R502)</f>
        <v>417</v>
      </c>
    </row>
    <row r="503" spans="1:19" x14ac:dyDescent="0.45">
      <c r="A503">
        <v>795</v>
      </c>
      <c r="B503" t="s">
        <v>316</v>
      </c>
      <c r="C503" t="s">
        <v>15</v>
      </c>
      <c r="D503" t="s">
        <v>151</v>
      </c>
      <c r="E503">
        <v>34</v>
      </c>
      <c r="F503" t="s">
        <v>33</v>
      </c>
      <c r="G503" t="s">
        <v>202</v>
      </c>
      <c r="H503">
        <v>0</v>
      </c>
      <c r="I503">
        <v>0</v>
      </c>
      <c r="J503">
        <v>0</v>
      </c>
      <c r="K503">
        <v>10</v>
      </c>
      <c r="L503" s="1">
        <v>7</v>
      </c>
      <c r="M503" t="s">
        <v>50</v>
      </c>
      <c r="N503" s="1" t="s">
        <v>317</v>
      </c>
      <c r="O503">
        <f>L503/N503</f>
        <v>0.41176470588235292</v>
      </c>
      <c r="P503" s="1">
        <v>216</v>
      </c>
      <c r="Q503" s="1">
        <f>L503-N503</f>
        <v>-10</v>
      </c>
      <c r="R503" s="1">
        <v>202</v>
      </c>
      <c r="S503">
        <f>SUM(P503,R503)</f>
        <v>418</v>
      </c>
    </row>
    <row r="504" spans="1:19" x14ac:dyDescent="0.45">
      <c r="A504">
        <v>7554</v>
      </c>
      <c r="B504" t="s">
        <v>228</v>
      </c>
      <c r="C504" t="s">
        <v>15</v>
      </c>
      <c r="D504" t="s">
        <v>223</v>
      </c>
      <c r="E504">
        <v>23</v>
      </c>
      <c r="F504" t="s">
        <v>17</v>
      </c>
      <c r="G504" t="s">
        <v>18</v>
      </c>
      <c r="H504">
        <v>2</v>
      </c>
      <c r="I504">
        <v>6</v>
      </c>
      <c r="J504">
        <v>6</v>
      </c>
      <c r="K504">
        <v>16</v>
      </c>
      <c r="L504" s="1">
        <v>10</v>
      </c>
      <c r="M504" t="s">
        <v>90</v>
      </c>
      <c r="N504" s="1" t="s">
        <v>229</v>
      </c>
      <c r="O504">
        <f>L504/N504</f>
        <v>0.45454545454545453</v>
      </c>
      <c r="P504" s="1">
        <v>205</v>
      </c>
      <c r="Q504" s="1">
        <f>L504-N504</f>
        <v>-12</v>
      </c>
      <c r="R504" s="1">
        <v>215</v>
      </c>
      <c r="S504">
        <f>SUM(P504,R504)</f>
        <v>420</v>
      </c>
    </row>
    <row r="505" spans="1:19" x14ac:dyDescent="0.45">
      <c r="A505">
        <v>2038</v>
      </c>
      <c r="B505" t="s">
        <v>154</v>
      </c>
      <c r="C505" t="s">
        <v>15</v>
      </c>
      <c r="D505" t="s">
        <v>77</v>
      </c>
      <c r="E505">
        <v>27</v>
      </c>
      <c r="F505" t="s">
        <v>17</v>
      </c>
      <c r="G505" t="s">
        <v>18</v>
      </c>
      <c r="H505">
        <v>1</v>
      </c>
      <c r="I505">
        <v>5</v>
      </c>
      <c r="J505">
        <v>5</v>
      </c>
      <c r="K505">
        <v>26</v>
      </c>
      <c r="L505" s="1">
        <v>12</v>
      </c>
      <c r="M505" t="s">
        <v>46</v>
      </c>
      <c r="N505" s="1" t="s">
        <v>155</v>
      </c>
      <c r="O505">
        <f>L505/N505</f>
        <v>0.48</v>
      </c>
      <c r="P505" s="1">
        <v>202</v>
      </c>
      <c r="Q505" s="1">
        <f>L505-N505</f>
        <v>-13</v>
      </c>
      <c r="R505" s="1">
        <v>219</v>
      </c>
      <c r="S505">
        <f>SUM(P505,R505)</f>
        <v>421</v>
      </c>
    </row>
    <row r="506" spans="1:19" x14ac:dyDescent="0.45">
      <c r="A506">
        <v>4436</v>
      </c>
      <c r="B506" t="s">
        <v>265</v>
      </c>
      <c r="C506" t="s">
        <v>15</v>
      </c>
      <c r="D506" t="s">
        <v>62</v>
      </c>
      <c r="E506">
        <v>26</v>
      </c>
      <c r="F506" t="s">
        <v>33</v>
      </c>
      <c r="G506" t="s">
        <v>63</v>
      </c>
      <c r="H506">
        <v>3</v>
      </c>
      <c r="I506">
        <v>6</v>
      </c>
      <c r="J506">
        <v>5.83</v>
      </c>
      <c r="K506">
        <v>13</v>
      </c>
      <c r="L506" s="1">
        <v>8</v>
      </c>
      <c r="M506" t="s">
        <v>90</v>
      </c>
      <c r="N506" s="1" t="s">
        <v>130</v>
      </c>
      <c r="O506">
        <f>L506/N506</f>
        <v>0.42105263157894735</v>
      </c>
      <c r="P506" s="1">
        <v>212</v>
      </c>
      <c r="Q506" s="1">
        <f>L506-N506</f>
        <v>-11</v>
      </c>
      <c r="R506" s="1">
        <v>210</v>
      </c>
      <c r="S506">
        <f>SUM(P506,R506)</f>
        <v>422</v>
      </c>
    </row>
    <row r="507" spans="1:19" x14ac:dyDescent="0.45">
      <c r="A507">
        <v>2097</v>
      </c>
      <c r="B507" t="s">
        <v>52</v>
      </c>
      <c r="C507" t="s">
        <v>15</v>
      </c>
      <c r="D507" t="s">
        <v>32</v>
      </c>
      <c r="E507">
        <v>26</v>
      </c>
      <c r="F507" t="s">
        <v>17</v>
      </c>
      <c r="G507" t="s">
        <v>18</v>
      </c>
      <c r="H507">
        <v>2</v>
      </c>
      <c r="I507">
        <v>6.25</v>
      </c>
      <c r="J507">
        <v>6.75</v>
      </c>
      <c r="K507">
        <v>93</v>
      </c>
      <c r="L507" s="1">
        <v>25</v>
      </c>
      <c r="M507" t="s">
        <v>53</v>
      </c>
      <c r="N507" s="1" t="s">
        <v>54</v>
      </c>
      <c r="O507">
        <f>L507/N507</f>
        <v>0.54347826086956519</v>
      </c>
      <c r="P507" s="1">
        <v>188</v>
      </c>
      <c r="Q507" s="1">
        <f>L507-N507</f>
        <v>-21</v>
      </c>
      <c r="R507" s="1">
        <v>240</v>
      </c>
      <c r="S507">
        <f>SUM(P507,R507)</f>
        <v>428</v>
      </c>
    </row>
    <row r="508" spans="1:19" x14ac:dyDescent="0.45">
      <c r="A508">
        <v>7071</v>
      </c>
      <c r="B508" t="s">
        <v>87</v>
      </c>
      <c r="C508" t="s">
        <v>15</v>
      </c>
      <c r="D508" t="s">
        <v>22</v>
      </c>
      <c r="E508">
        <v>21</v>
      </c>
      <c r="F508" t="s">
        <v>17</v>
      </c>
      <c r="G508" t="s">
        <v>18</v>
      </c>
      <c r="H508">
        <v>3</v>
      </c>
      <c r="I508">
        <v>6.67</v>
      </c>
      <c r="J508">
        <v>8</v>
      </c>
      <c r="K508">
        <v>53</v>
      </c>
      <c r="L508" s="1">
        <v>17</v>
      </c>
      <c r="M508" t="s">
        <v>69</v>
      </c>
      <c r="N508" s="1" t="s">
        <v>88</v>
      </c>
      <c r="O508">
        <f>L508/N508</f>
        <v>0.48571428571428571</v>
      </c>
      <c r="P508" s="1">
        <v>201</v>
      </c>
      <c r="Q508" s="1">
        <f>L508-N508</f>
        <v>-18</v>
      </c>
      <c r="R508" s="1">
        <v>228</v>
      </c>
      <c r="S508">
        <f>SUM(P508,R508)</f>
        <v>429</v>
      </c>
    </row>
    <row r="509" spans="1:19" x14ac:dyDescent="0.45">
      <c r="A509">
        <v>7252</v>
      </c>
      <c r="B509" t="s">
        <v>432</v>
      </c>
      <c r="C509" t="s">
        <v>15</v>
      </c>
      <c r="D509" t="s">
        <v>276</v>
      </c>
      <c r="E509">
        <v>25</v>
      </c>
      <c r="F509" t="s">
        <v>17</v>
      </c>
      <c r="G509" t="s">
        <v>18</v>
      </c>
      <c r="H509">
        <v>3</v>
      </c>
      <c r="I509">
        <v>5.33</v>
      </c>
      <c r="J509">
        <v>5.33</v>
      </c>
      <c r="K509">
        <v>6</v>
      </c>
      <c r="L509" s="1">
        <v>6</v>
      </c>
      <c r="M509" t="s">
        <v>82</v>
      </c>
      <c r="N509" s="1" t="s">
        <v>126</v>
      </c>
      <c r="O509">
        <f>L509/N509</f>
        <v>0.375</v>
      </c>
      <c r="P509" s="1">
        <v>228</v>
      </c>
      <c r="Q509" s="1">
        <f>L509-N509</f>
        <v>-10</v>
      </c>
      <c r="R509" s="1">
        <v>203</v>
      </c>
      <c r="S509">
        <f>SUM(P509,R509)</f>
        <v>431</v>
      </c>
    </row>
    <row r="510" spans="1:19" x14ac:dyDescent="0.45">
      <c r="A510">
        <v>6669</v>
      </c>
      <c r="B510" t="s">
        <v>355</v>
      </c>
      <c r="C510" t="s">
        <v>15</v>
      </c>
      <c r="D510" t="s">
        <v>22</v>
      </c>
      <c r="E510">
        <v>23</v>
      </c>
      <c r="F510" t="s">
        <v>17</v>
      </c>
      <c r="G510" t="s">
        <v>18</v>
      </c>
      <c r="H510">
        <v>1</v>
      </c>
      <c r="I510">
        <v>6</v>
      </c>
      <c r="J510">
        <v>6</v>
      </c>
      <c r="K510">
        <v>8</v>
      </c>
      <c r="L510" s="1">
        <v>7</v>
      </c>
      <c r="M510" t="s">
        <v>27</v>
      </c>
      <c r="N510" s="1" t="s">
        <v>260</v>
      </c>
      <c r="O510">
        <f>L510/N510</f>
        <v>0.3888888888888889</v>
      </c>
      <c r="P510" s="1">
        <v>222</v>
      </c>
      <c r="Q510" s="1">
        <f>L510-N510</f>
        <v>-11</v>
      </c>
      <c r="R510" s="1">
        <v>211</v>
      </c>
      <c r="S510">
        <f>SUM(P510,R510)</f>
        <v>433</v>
      </c>
    </row>
    <row r="511" spans="1:19" x14ac:dyDescent="0.45">
      <c r="A511">
        <v>4896</v>
      </c>
      <c r="B511" t="s">
        <v>259</v>
      </c>
      <c r="C511" t="s">
        <v>15</v>
      </c>
      <c r="D511" t="s">
        <v>242</v>
      </c>
      <c r="E511">
        <v>25</v>
      </c>
      <c r="F511" t="s">
        <v>17</v>
      </c>
      <c r="G511" t="s">
        <v>34</v>
      </c>
      <c r="H511">
        <v>3</v>
      </c>
      <c r="I511">
        <v>6.17</v>
      </c>
      <c r="J511">
        <v>7.17</v>
      </c>
      <c r="K511">
        <v>13</v>
      </c>
      <c r="L511" s="1">
        <v>7</v>
      </c>
      <c r="M511" t="s">
        <v>46</v>
      </c>
      <c r="N511" s="1" t="s">
        <v>260</v>
      </c>
      <c r="O511">
        <f>L511/N511</f>
        <v>0.3888888888888889</v>
      </c>
      <c r="P511" s="1">
        <v>223</v>
      </c>
      <c r="Q511" s="1">
        <f>L511-N511</f>
        <v>-11</v>
      </c>
      <c r="R511" s="1">
        <v>212</v>
      </c>
      <c r="S511">
        <f>SUM(P511,R511)</f>
        <v>435</v>
      </c>
    </row>
    <row r="512" spans="1:19" x14ac:dyDescent="0.45">
      <c r="A512">
        <v>632</v>
      </c>
      <c r="B512" t="s">
        <v>103</v>
      </c>
      <c r="C512" t="s">
        <v>15</v>
      </c>
      <c r="D512" t="s">
        <v>77</v>
      </c>
      <c r="E512">
        <v>31</v>
      </c>
      <c r="F512" t="s">
        <v>33</v>
      </c>
      <c r="G512" t="s">
        <v>63</v>
      </c>
      <c r="H512">
        <v>3</v>
      </c>
      <c r="I512">
        <v>6.17</v>
      </c>
      <c r="J512">
        <v>6.33</v>
      </c>
      <c r="K512">
        <v>46</v>
      </c>
      <c r="L512" s="1">
        <v>16</v>
      </c>
      <c r="M512" t="s">
        <v>72</v>
      </c>
      <c r="N512" s="1" t="s">
        <v>104</v>
      </c>
      <c r="O512">
        <f>L512/N512</f>
        <v>0.44444444444444442</v>
      </c>
      <c r="P512" s="1">
        <v>207</v>
      </c>
      <c r="Q512" s="1">
        <f>L512-N512</f>
        <v>-20</v>
      </c>
      <c r="R512" s="1">
        <v>233</v>
      </c>
      <c r="S512">
        <f>SUM(P512,R512)</f>
        <v>440</v>
      </c>
    </row>
    <row r="513" spans="1:19" x14ac:dyDescent="0.45">
      <c r="A513">
        <v>7623</v>
      </c>
      <c r="B513" t="s">
        <v>277</v>
      </c>
      <c r="C513" t="s">
        <v>15</v>
      </c>
      <c r="D513" t="s">
        <v>123</v>
      </c>
      <c r="E513">
        <v>23</v>
      </c>
      <c r="F513" t="s">
        <v>17</v>
      </c>
      <c r="G513" t="s">
        <v>63</v>
      </c>
      <c r="H513">
        <v>2</v>
      </c>
      <c r="I513">
        <v>5.75</v>
      </c>
      <c r="J513">
        <v>5.75</v>
      </c>
      <c r="K513">
        <v>12</v>
      </c>
      <c r="L513" s="1">
        <v>7</v>
      </c>
      <c r="M513" t="s">
        <v>90</v>
      </c>
      <c r="N513" s="1" t="s">
        <v>130</v>
      </c>
      <c r="O513">
        <f>L513/N513</f>
        <v>0.36842105263157893</v>
      </c>
      <c r="P513" s="1">
        <v>231</v>
      </c>
      <c r="Q513" s="1">
        <f>L513-N513</f>
        <v>-12</v>
      </c>
      <c r="R513" s="1">
        <v>216</v>
      </c>
      <c r="S513">
        <f>SUM(P513,R513)</f>
        <v>447</v>
      </c>
    </row>
    <row r="514" spans="1:19" x14ac:dyDescent="0.45">
      <c r="A514">
        <v>2134</v>
      </c>
      <c r="B514" t="s">
        <v>275</v>
      </c>
      <c r="C514" t="s">
        <v>15</v>
      </c>
      <c r="D514" t="s">
        <v>276</v>
      </c>
      <c r="E514">
        <v>31</v>
      </c>
      <c r="F514" t="s">
        <v>108</v>
      </c>
      <c r="G514" t="s">
        <v>109</v>
      </c>
      <c r="H514">
        <v>3</v>
      </c>
      <c r="I514">
        <v>6.33</v>
      </c>
      <c r="J514">
        <v>4.5</v>
      </c>
      <c r="K514">
        <v>13</v>
      </c>
      <c r="L514" s="1">
        <v>8</v>
      </c>
      <c r="M514" t="s">
        <v>72</v>
      </c>
      <c r="N514" s="1" t="s">
        <v>172</v>
      </c>
      <c r="O514">
        <f>L514/N514</f>
        <v>0.38095238095238093</v>
      </c>
      <c r="P514" s="1">
        <v>227</v>
      </c>
      <c r="Q514" s="1">
        <f>L514-N514</f>
        <v>-13</v>
      </c>
      <c r="R514" s="1">
        <v>220</v>
      </c>
      <c r="S514">
        <f>SUM(P514,R514)</f>
        <v>447</v>
      </c>
    </row>
    <row r="515" spans="1:19" x14ac:dyDescent="0.45">
      <c r="A515">
        <v>5559</v>
      </c>
      <c r="B515" t="s">
        <v>105</v>
      </c>
      <c r="C515" t="s">
        <v>15</v>
      </c>
      <c r="D515" t="s">
        <v>32</v>
      </c>
      <c r="E515">
        <v>25</v>
      </c>
      <c r="F515" t="s">
        <v>33</v>
      </c>
      <c r="G515" t="s">
        <v>49</v>
      </c>
      <c r="H515">
        <v>3</v>
      </c>
      <c r="I515">
        <v>6.33</v>
      </c>
      <c r="J515">
        <v>6.33</v>
      </c>
      <c r="K515">
        <v>43</v>
      </c>
      <c r="L515" s="1">
        <v>18</v>
      </c>
      <c r="M515" t="s">
        <v>42</v>
      </c>
      <c r="N515" s="1" t="s">
        <v>106</v>
      </c>
      <c r="O515">
        <f>L515/N515</f>
        <v>0.45</v>
      </c>
      <c r="P515" s="1">
        <v>206</v>
      </c>
      <c r="Q515" s="1">
        <f>L515-N515</f>
        <v>-22</v>
      </c>
      <c r="R515" s="1">
        <v>245</v>
      </c>
      <c r="S515">
        <f>SUM(P515,R515)</f>
        <v>451</v>
      </c>
    </row>
    <row r="516" spans="1:19" x14ac:dyDescent="0.45">
      <c r="A516">
        <v>22</v>
      </c>
      <c r="B516" t="s">
        <v>511</v>
      </c>
      <c r="C516" t="s">
        <v>15</v>
      </c>
      <c r="D516" t="s">
        <v>16</v>
      </c>
      <c r="E516">
        <v>35</v>
      </c>
      <c r="F516" t="s">
        <v>33</v>
      </c>
      <c r="G516" t="s">
        <v>41</v>
      </c>
      <c r="H516">
        <v>0</v>
      </c>
      <c r="I516">
        <v>0</v>
      </c>
      <c r="J516">
        <v>0</v>
      </c>
      <c r="K516">
        <v>5</v>
      </c>
      <c r="L516" s="1">
        <v>3</v>
      </c>
      <c r="M516" t="s">
        <v>82</v>
      </c>
      <c r="N516" s="1" t="s">
        <v>203</v>
      </c>
      <c r="O516">
        <f>L516/N516</f>
        <v>0.27272727272727271</v>
      </c>
      <c r="P516" s="1">
        <v>259</v>
      </c>
      <c r="Q516" s="1">
        <f>L516-N516</f>
        <v>-8</v>
      </c>
      <c r="R516" s="1">
        <v>195</v>
      </c>
      <c r="S516">
        <f>SUM(P516,R516)</f>
        <v>454</v>
      </c>
    </row>
    <row r="517" spans="1:19" x14ac:dyDescent="0.45">
      <c r="A517">
        <v>1850</v>
      </c>
      <c r="B517" t="s">
        <v>189</v>
      </c>
      <c r="C517" t="s">
        <v>15</v>
      </c>
      <c r="D517" t="s">
        <v>93</v>
      </c>
      <c r="E517">
        <v>30</v>
      </c>
      <c r="F517" t="s">
        <v>33</v>
      </c>
      <c r="G517" t="s">
        <v>33</v>
      </c>
      <c r="H517">
        <v>0</v>
      </c>
      <c r="I517">
        <v>0</v>
      </c>
      <c r="J517">
        <v>0</v>
      </c>
      <c r="K517">
        <v>22</v>
      </c>
      <c r="L517" s="1">
        <v>12</v>
      </c>
      <c r="M517" t="s">
        <v>53</v>
      </c>
      <c r="N517" s="1" t="s">
        <v>168</v>
      </c>
      <c r="O517">
        <f>L517/N517</f>
        <v>0.38709677419354838</v>
      </c>
      <c r="P517" s="1">
        <v>224</v>
      </c>
      <c r="Q517" s="1">
        <f>L517-N517</f>
        <v>-19</v>
      </c>
      <c r="R517" s="1">
        <v>231</v>
      </c>
      <c r="S517">
        <f>SUM(P517,R517)</f>
        <v>455</v>
      </c>
    </row>
    <row r="518" spans="1:19" x14ac:dyDescent="0.45">
      <c r="A518">
        <v>5520</v>
      </c>
      <c r="B518" t="s">
        <v>379</v>
      </c>
      <c r="C518" t="s">
        <v>15</v>
      </c>
      <c r="D518" t="s">
        <v>66</v>
      </c>
      <c r="E518">
        <v>26</v>
      </c>
      <c r="F518" t="s">
        <v>37</v>
      </c>
      <c r="G518" t="s">
        <v>332</v>
      </c>
      <c r="H518">
        <v>1</v>
      </c>
      <c r="I518">
        <v>6</v>
      </c>
      <c r="J518">
        <v>5.5</v>
      </c>
      <c r="K518">
        <v>8</v>
      </c>
      <c r="L518" s="1">
        <v>8</v>
      </c>
      <c r="M518" t="s">
        <v>69</v>
      </c>
      <c r="N518" s="1" t="s">
        <v>229</v>
      </c>
      <c r="O518">
        <f>L518/N518</f>
        <v>0.36363636363636365</v>
      </c>
      <c r="P518" s="1">
        <v>234</v>
      </c>
      <c r="Q518" s="1">
        <f>L518-N518</f>
        <v>-14</v>
      </c>
      <c r="R518" s="1">
        <v>223</v>
      </c>
      <c r="S518">
        <f>SUM(P518,R518)</f>
        <v>457</v>
      </c>
    </row>
    <row r="519" spans="1:19" x14ac:dyDescent="0.45">
      <c r="A519">
        <v>5637</v>
      </c>
      <c r="B519" t="s">
        <v>79</v>
      </c>
      <c r="C519" t="s">
        <v>15</v>
      </c>
      <c r="D519" t="s">
        <v>80</v>
      </c>
      <c r="E519">
        <v>28</v>
      </c>
      <c r="F519" t="s">
        <v>17</v>
      </c>
      <c r="G519" t="s">
        <v>18</v>
      </c>
      <c r="H519">
        <v>2</v>
      </c>
      <c r="I519">
        <v>6.5</v>
      </c>
      <c r="J519">
        <v>7</v>
      </c>
      <c r="K519">
        <v>57</v>
      </c>
      <c r="L519" s="1">
        <v>19</v>
      </c>
      <c r="M519" t="s">
        <v>72</v>
      </c>
      <c r="N519" s="1" t="s">
        <v>51</v>
      </c>
      <c r="O519">
        <f>L519/N519</f>
        <v>0.44186046511627908</v>
      </c>
      <c r="P519" s="1">
        <v>208</v>
      </c>
      <c r="Q519" s="1">
        <f>L519-N519</f>
        <v>-24</v>
      </c>
      <c r="R519" s="1">
        <v>249</v>
      </c>
      <c r="S519">
        <f>SUM(P519,R519)</f>
        <v>457</v>
      </c>
    </row>
    <row r="520" spans="1:19" x14ac:dyDescent="0.45">
      <c r="A520">
        <v>2814</v>
      </c>
      <c r="B520" t="s">
        <v>614</v>
      </c>
      <c r="C520" t="s">
        <v>15</v>
      </c>
      <c r="D520" t="s">
        <v>22</v>
      </c>
      <c r="E520">
        <v>32</v>
      </c>
      <c r="F520" t="s">
        <v>108</v>
      </c>
      <c r="G520" t="s">
        <v>109</v>
      </c>
      <c r="H520">
        <v>0</v>
      </c>
      <c r="I520">
        <v>0</v>
      </c>
      <c r="J520">
        <v>0</v>
      </c>
      <c r="K520">
        <v>3</v>
      </c>
      <c r="L520" s="1">
        <v>1</v>
      </c>
      <c r="M520" t="s">
        <v>27</v>
      </c>
      <c r="N520" s="1" t="s">
        <v>112</v>
      </c>
      <c r="O520">
        <f>L520/N520</f>
        <v>0.2</v>
      </c>
      <c r="P520" s="1">
        <v>282</v>
      </c>
      <c r="Q520" s="1">
        <f>L520-N520</f>
        <v>-4</v>
      </c>
      <c r="R520" s="1">
        <v>177</v>
      </c>
      <c r="S520">
        <f>SUM(P520,R520)</f>
        <v>459</v>
      </c>
    </row>
    <row r="521" spans="1:19" x14ac:dyDescent="0.45">
      <c r="A521">
        <v>4994</v>
      </c>
      <c r="B521" t="s">
        <v>328</v>
      </c>
      <c r="C521" t="s">
        <v>15</v>
      </c>
      <c r="D521" t="s">
        <v>80</v>
      </c>
      <c r="E521">
        <v>31</v>
      </c>
      <c r="F521" t="s">
        <v>37</v>
      </c>
      <c r="G521" t="s">
        <v>208</v>
      </c>
      <c r="H521">
        <v>3</v>
      </c>
      <c r="I521">
        <v>5.83</v>
      </c>
      <c r="J521">
        <v>5.83</v>
      </c>
      <c r="K521">
        <v>10</v>
      </c>
      <c r="L521" s="1">
        <v>9</v>
      </c>
      <c r="M521" t="s">
        <v>46</v>
      </c>
      <c r="N521" s="1" t="s">
        <v>155</v>
      </c>
      <c r="O521">
        <f>L521/N521</f>
        <v>0.36</v>
      </c>
      <c r="P521" s="1">
        <v>235</v>
      </c>
      <c r="Q521" s="1">
        <f>L521-N521</f>
        <v>-16</v>
      </c>
      <c r="R521" s="1">
        <v>225</v>
      </c>
      <c r="S521">
        <f>SUM(P521,R521)</f>
        <v>460</v>
      </c>
    </row>
    <row r="522" spans="1:19" x14ac:dyDescent="0.45">
      <c r="A522">
        <v>7351</v>
      </c>
      <c r="B522" t="s">
        <v>142</v>
      </c>
      <c r="C522" t="s">
        <v>15</v>
      </c>
      <c r="D522" t="s">
        <v>26</v>
      </c>
      <c r="E522">
        <v>24</v>
      </c>
      <c r="F522" t="s">
        <v>17</v>
      </c>
      <c r="G522" t="s">
        <v>63</v>
      </c>
      <c r="H522">
        <v>3</v>
      </c>
      <c r="I522">
        <v>6</v>
      </c>
      <c r="J522">
        <v>6</v>
      </c>
      <c r="K522">
        <v>29</v>
      </c>
      <c r="L522" s="1">
        <v>14</v>
      </c>
      <c r="M522" t="s">
        <v>46</v>
      </c>
      <c r="N522" s="1" t="s">
        <v>88</v>
      </c>
      <c r="O522">
        <f>L522/N522</f>
        <v>0.4</v>
      </c>
      <c r="P522" s="1">
        <v>219</v>
      </c>
      <c r="Q522" s="1">
        <f>L522-N522</f>
        <v>-21</v>
      </c>
      <c r="R522" s="1">
        <v>241</v>
      </c>
      <c r="S522">
        <f>SUM(P522,R522)</f>
        <v>460</v>
      </c>
    </row>
    <row r="523" spans="1:19" x14ac:dyDescent="0.45">
      <c r="A523">
        <v>7181</v>
      </c>
      <c r="B523" t="s">
        <v>98</v>
      </c>
      <c r="C523" t="s">
        <v>15</v>
      </c>
      <c r="D523" t="s">
        <v>16</v>
      </c>
      <c r="E523">
        <v>23</v>
      </c>
      <c r="F523" t="s">
        <v>37</v>
      </c>
      <c r="G523" t="s">
        <v>99</v>
      </c>
      <c r="H523">
        <v>3</v>
      </c>
      <c r="I523">
        <v>6.83</v>
      </c>
      <c r="J523">
        <v>7.17</v>
      </c>
      <c r="K523">
        <v>48</v>
      </c>
      <c r="L523" s="1">
        <v>18</v>
      </c>
      <c r="M523" t="s">
        <v>82</v>
      </c>
      <c r="N523" s="1" t="s">
        <v>100</v>
      </c>
      <c r="O523">
        <f>L523/N523</f>
        <v>0.42857142857142855</v>
      </c>
      <c r="P523" s="1">
        <v>210</v>
      </c>
      <c r="Q523" s="1">
        <f>L523-N523</f>
        <v>-24</v>
      </c>
      <c r="R523" s="1">
        <v>250</v>
      </c>
      <c r="S523">
        <f>SUM(P523,R523)</f>
        <v>460</v>
      </c>
    </row>
    <row r="524" spans="1:19" x14ac:dyDescent="0.45">
      <c r="A524">
        <v>2809</v>
      </c>
      <c r="B524" t="s">
        <v>723</v>
      </c>
      <c r="C524" t="s">
        <v>15</v>
      </c>
      <c r="D524" t="s">
        <v>32</v>
      </c>
      <c r="E524">
        <v>36</v>
      </c>
      <c r="F524" t="s">
        <v>108</v>
      </c>
      <c r="G524" t="s">
        <v>109</v>
      </c>
      <c r="H524">
        <v>0</v>
      </c>
      <c r="I524">
        <v>0</v>
      </c>
      <c r="J524">
        <v>0</v>
      </c>
      <c r="K524">
        <v>1</v>
      </c>
      <c r="L524" s="1">
        <v>1</v>
      </c>
      <c r="M524" t="s">
        <v>69</v>
      </c>
      <c r="N524" s="1" t="s">
        <v>112</v>
      </c>
      <c r="O524">
        <f>L524/N524</f>
        <v>0.2</v>
      </c>
      <c r="P524" s="1">
        <v>283</v>
      </c>
      <c r="Q524" s="1">
        <f>L524-N524</f>
        <v>-4</v>
      </c>
      <c r="R524" s="1">
        <v>178</v>
      </c>
      <c r="S524">
        <f>SUM(P524,R524)</f>
        <v>461</v>
      </c>
    </row>
    <row r="525" spans="1:19" x14ac:dyDescent="0.45">
      <c r="A525">
        <v>6967</v>
      </c>
      <c r="B525" t="s">
        <v>127</v>
      </c>
      <c r="C525" t="s">
        <v>15</v>
      </c>
      <c r="D525" t="s">
        <v>32</v>
      </c>
      <c r="E525">
        <v>21</v>
      </c>
      <c r="F525" t="s">
        <v>17</v>
      </c>
      <c r="G525" t="s">
        <v>63</v>
      </c>
      <c r="H525">
        <v>3</v>
      </c>
      <c r="I525">
        <v>6.67</v>
      </c>
      <c r="J525">
        <v>9</v>
      </c>
      <c r="K525">
        <v>35</v>
      </c>
      <c r="L525" s="1">
        <v>14</v>
      </c>
      <c r="M525" t="s">
        <v>53</v>
      </c>
      <c r="N525" s="1" t="s">
        <v>88</v>
      </c>
      <c r="O525">
        <f>L525/N525</f>
        <v>0.4</v>
      </c>
      <c r="P525" s="1">
        <v>220</v>
      </c>
      <c r="Q525" s="1">
        <f>L525-N525</f>
        <v>-21</v>
      </c>
      <c r="R525" s="1">
        <v>242</v>
      </c>
      <c r="S525">
        <f>SUM(P525,R525)</f>
        <v>462</v>
      </c>
    </row>
    <row r="526" spans="1:19" x14ac:dyDescent="0.45">
      <c r="A526">
        <v>4807</v>
      </c>
      <c r="B526" t="s">
        <v>217</v>
      </c>
      <c r="C526" t="s">
        <v>15</v>
      </c>
      <c r="D526" t="s">
        <v>16</v>
      </c>
      <c r="E526">
        <v>31</v>
      </c>
      <c r="F526" t="s">
        <v>37</v>
      </c>
      <c r="G526" t="s">
        <v>141</v>
      </c>
      <c r="H526">
        <v>3</v>
      </c>
      <c r="I526">
        <v>6.67</v>
      </c>
      <c r="J526">
        <v>7.5</v>
      </c>
      <c r="K526">
        <v>18</v>
      </c>
      <c r="L526" s="1">
        <v>12</v>
      </c>
      <c r="M526" t="s">
        <v>72</v>
      </c>
      <c r="N526" s="1" t="s">
        <v>218</v>
      </c>
      <c r="O526">
        <f>L526/N526</f>
        <v>0.375</v>
      </c>
      <c r="P526" s="1">
        <v>230</v>
      </c>
      <c r="Q526" s="1">
        <f>L526-N526</f>
        <v>-20</v>
      </c>
      <c r="R526" s="1">
        <v>234</v>
      </c>
      <c r="S526">
        <f>SUM(P526,R526)</f>
        <v>464</v>
      </c>
    </row>
    <row r="527" spans="1:19" x14ac:dyDescent="0.45">
      <c r="A527">
        <v>4220</v>
      </c>
      <c r="B527" t="s">
        <v>213</v>
      </c>
      <c r="C527" t="s">
        <v>15</v>
      </c>
      <c r="D527" t="s">
        <v>26</v>
      </c>
      <c r="E527">
        <v>31</v>
      </c>
      <c r="F527" t="s">
        <v>33</v>
      </c>
      <c r="G527" t="s">
        <v>33</v>
      </c>
      <c r="H527">
        <v>3</v>
      </c>
      <c r="I527">
        <v>5.33</v>
      </c>
      <c r="J527">
        <v>5.33</v>
      </c>
      <c r="K527">
        <v>18</v>
      </c>
      <c r="L527" s="1">
        <v>10</v>
      </c>
      <c r="M527" t="s">
        <v>90</v>
      </c>
      <c r="N527" s="1" t="s">
        <v>214</v>
      </c>
      <c r="O527">
        <f>L527/N527</f>
        <v>0.35714285714285715</v>
      </c>
      <c r="P527" s="1">
        <v>236</v>
      </c>
      <c r="Q527" s="1">
        <f>L527-N527</f>
        <v>-18</v>
      </c>
      <c r="R527" s="1">
        <v>229</v>
      </c>
      <c r="S527">
        <f>SUM(P527,R527)</f>
        <v>465</v>
      </c>
    </row>
    <row r="528" spans="1:19" x14ac:dyDescent="0.45">
      <c r="A528">
        <v>2766</v>
      </c>
      <c r="B528" t="s">
        <v>119</v>
      </c>
      <c r="C528" t="s">
        <v>15</v>
      </c>
      <c r="D528" t="s">
        <v>80</v>
      </c>
      <c r="E528">
        <v>27</v>
      </c>
      <c r="F528" t="s">
        <v>33</v>
      </c>
      <c r="G528" t="s">
        <v>34</v>
      </c>
      <c r="H528">
        <v>1</v>
      </c>
      <c r="I528">
        <v>6.5</v>
      </c>
      <c r="J528">
        <v>6.5</v>
      </c>
      <c r="K528">
        <v>38</v>
      </c>
      <c r="L528" s="1">
        <v>17</v>
      </c>
      <c r="M528" t="s">
        <v>53</v>
      </c>
      <c r="N528" s="1" t="s">
        <v>83</v>
      </c>
      <c r="O528">
        <f>L528/N528</f>
        <v>0.41463414634146339</v>
      </c>
      <c r="P528" s="1">
        <v>215</v>
      </c>
      <c r="Q528" s="1">
        <f>L528-N528</f>
        <v>-24</v>
      </c>
      <c r="R528" s="1">
        <v>251</v>
      </c>
      <c r="S528">
        <f>SUM(P528,R528)</f>
        <v>466</v>
      </c>
    </row>
    <row r="529" spans="1:19" x14ac:dyDescent="0.45">
      <c r="A529">
        <v>7523</v>
      </c>
      <c r="B529" t="s">
        <v>210</v>
      </c>
      <c r="C529" t="s">
        <v>15</v>
      </c>
      <c r="D529" t="s">
        <v>211</v>
      </c>
      <c r="E529">
        <v>21</v>
      </c>
      <c r="F529" t="s">
        <v>17</v>
      </c>
      <c r="G529" t="s">
        <v>18</v>
      </c>
      <c r="H529">
        <v>2</v>
      </c>
      <c r="I529">
        <v>7</v>
      </c>
      <c r="J529">
        <v>10</v>
      </c>
      <c r="K529">
        <v>18</v>
      </c>
      <c r="L529" s="1">
        <v>7</v>
      </c>
      <c r="M529" t="s">
        <v>27</v>
      </c>
      <c r="N529" s="1" t="s">
        <v>172</v>
      </c>
      <c r="O529">
        <f>L529/N529</f>
        <v>0.33333333333333331</v>
      </c>
      <c r="P529" s="1">
        <v>243</v>
      </c>
      <c r="Q529" s="1">
        <f>L529-N529</f>
        <v>-14</v>
      </c>
      <c r="R529" s="1">
        <v>224</v>
      </c>
      <c r="S529">
        <f>SUM(P529,R529)</f>
        <v>467</v>
      </c>
    </row>
    <row r="530" spans="1:19" x14ac:dyDescent="0.45">
      <c r="A530">
        <v>6462</v>
      </c>
      <c r="B530" t="s">
        <v>256</v>
      </c>
      <c r="C530" t="s">
        <v>15</v>
      </c>
      <c r="D530" t="s">
        <v>80</v>
      </c>
      <c r="E530">
        <v>27</v>
      </c>
      <c r="F530" t="s">
        <v>108</v>
      </c>
      <c r="G530" t="s">
        <v>109</v>
      </c>
      <c r="H530">
        <v>3</v>
      </c>
      <c r="I530">
        <v>6.17</v>
      </c>
      <c r="J530">
        <v>4.5</v>
      </c>
      <c r="K530">
        <v>14</v>
      </c>
      <c r="L530" s="1">
        <v>9</v>
      </c>
      <c r="M530" t="s">
        <v>23</v>
      </c>
      <c r="N530" s="1" t="s">
        <v>183</v>
      </c>
      <c r="O530">
        <f>L530/N530</f>
        <v>0.34615384615384615</v>
      </c>
      <c r="P530" s="1">
        <v>240</v>
      </c>
      <c r="Q530" s="1">
        <f>L530-N530</f>
        <v>-17</v>
      </c>
      <c r="R530" s="1">
        <v>227</v>
      </c>
      <c r="S530">
        <f>SUM(P530,R530)</f>
        <v>467</v>
      </c>
    </row>
    <row r="531" spans="1:19" x14ac:dyDescent="0.45">
      <c r="A531">
        <v>2379</v>
      </c>
      <c r="B531" t="s">
        <v>68</v>
      </c>
      <c r="C531" t="s">
        <v>15</v>
      </c>
      <c r="D531" t="s">
        <v>45</v>
      </c>
      <c r="E531">
        <v>31</v>
      </c>
      <c r="F531" t="s">
        <v>33</v>
      </c>
      <c r="G531" t="s">
        <v>49</v>
      </c>
      <c r="H531">
        <v>3</v>
      </c>
      <c r="I531">
        <v>6.17</v>
      </c>
      <c r="J531">
        <v>7.5</v>
      </c>
      <c r="K531">
        <v>71</v>
      </c>
      <c r="L531" s="1">
        <v>22</v>
      </c>
      <c r="M531" t="s">
        <v>69</v>
      </c>
      <c r="N531" s="1" t="s">
        <v>70</v>
      </c>
      <c r="O531">
        <f>L531/N531</f>
        <v>0.44</v>
      </c>
      <c r="P531" s="1">
        <v>209</v>
      </c>
      <c r="Q531" s="1">
        <f>L531-N531</f>
        <v>-28</v>
      </c>
      <c r="R531" s="1">
        <v>259</v>
      </c>
      <c r="S531">
        <f>SUM(P531,R531)</f>
        <v>468</v>
      </c>
    </row>
    <row r="532" spans="1:19" x14ac:dyDescent="0.45">
      <c r="A532">
        <v>7546</v>
      </c>
      <c r="B532" t="s">
        <v>430</v>
      </c>
      <c r="C532" t="s">
        <v>15</v>
      </c>
      <c r="D532" t="s">
        <v>211</v>
      </c>
      <c r="E532">
        <v>19</v>
      </c>
      <c r="F532" t="s">
        <v>17</v>
      </c>
      <c r="G532" t="s">
        <v>17</v>
      </c>
      <c r="H532">
        <v>1</v>
      </c>
      <c r="I532">
        <v>7</v>
      </c>
      <c r="J532">
        <v>10</v>
      </c>
      <c r="K532">
        <v>6</v>
      </c>
      <c r="L532" s="1">
        <v>6</v>
      </c>
      <c r="M532" t="s">
        <v>90</v>
      </c>
      <c r="N532" s="1" t="s">
        <v>130</v>
      </c>
      <c r="O532">
        <f>L532/N532</f>
        <v>0.31578947368421051</v>
      </c>
      <c r="P532" s="1">
        <v>250</v>
      </c>
      <c r="Q532" s="1">
        <f>L532-N532</f>
        <v>-13</v>
      </c>
      <c r="R532" s="1">
        <v>221</v>
      </c>
      <c r="S532">
        <f>SUM(P532,R532)</f>
        <v>471</v>
      </c>
    </row>
    <row r="533" spans="1:19" x14ac:dyDescent="0.45">
      <c r="A533">
        <v>572</v>
      </c>
      <c r="B533" t="s">
        <v>167</v>
      </c>
      <c r="C533" t="s">
        <v>15</v>
      </c>
      <c r="D533" t="s">
        <v>26</v>
      </c>
      <c r="E533">
        <v>29</v>
      </c>
      <c r="F533" t="s">
        <v>108</v>
      </c>
      <c r="G533" t="s">
        <v>109</v>
      </c>
      <c r="H533">
        <v>3</v>
      </c>
      <c r="I533">
        <v>6.33</v>
      </c>
      <c r="J533">
        <v>4.67</v>
      </c>
      <c r="K533">
        <v>25</v>
      </c>
      <c r="L533" s="1">
        <v>11</v>
      </c>
      <c r="M533" t="s">
        <v>50</v>
      </c>
      <c r="N533" s="1" t="s">
        <v>168</v>
      </c>
      <c r="O533">
        <f>L533/N533</f>
        <v>0.35483870967741937</v>
      </c>
      <c r="P533" s="1">
        <v>237</v>
      </c>
      <c r="Q533" s="1">
        <f>L533-N533</f>
        <v>-20</v>
      </c>
      <c r="R533" s="1">
        <v>235</v>
      </c>
      <c r="S533">
        <f>SUM(P533,R533)</f>
        <v>472</v>
      </c>
    </row>
    <row r="534" spans="1:19" x14ac:dyDescent="0.45">
      <c r="A534">
        <v>4911</v>
      </c>
      <c r="B534" t="s">
        <v>362</v>
      </c>
      <c r="C534" t="s">
        <v>15</v>
      </c>
      <c r="D534" t="s">
        <v>66</v>
      </c>
      <c r="E534">
        <v>28</v>
      </c>
      <c r="F534" t="s">
        <v>33</v>
      </c>
      <c r="G534" t="s">
        <v>33</v>
      </c>
      <c r="H534">
        <v>3</v>
      </c>
      <c r="I534">
        <v>5.67</v>
      </c>
      <c r="J534">
        <v>5.67</v>
      </c>
      <c r="K534">
        <v>8</v>
      </c>
      <c r="L534" s="1">
        <v>4</v>
      </c>
      <c r="M534" t="s">
        <v>19</v>
      </c>
      <c r="N534" s="1" t="s">
        <v>91</v>
      </c>
      <c r="O534">
        <f>L534/N534</f>
        <v>0.26666666666666666</v>
      </c>
      <c r="P534" s="1">
        <v>262</v>
      </c>
      <c r="Q534" s="1">
        <f>L534-N534</f>
        <v>-11</v>
      </c>
      <c r="R534" s="1">
        <v>213</v>
      </c>
      <c r="S534">
        <f>SUM(P534,R534)</f>
        <v>475</v>
      </c>
    </row>
    <row r="535" spans="1:19" x14ac:dyDescent="0.45">
      <c r="A535">
        <v>7547</v>
      </c>
      <c r="B535" t="s">
        <v>241</v>
      </c>
      <c r="C535" t="s">
        <v>15</v>
      </c>
      <c r="D535" t="s">
        <v>242</v>
      </c>
      <c r="E535">
        <v>25</v>
      </c>
      <c r="F535" t="s">
        <v>17</v>
      </c>
      <c r="G535" t="s">
        <v>18</v>
      </c>
      <c r="H535">
        <v>1</v>
      </c>
      <c r="I535">
        <v>5.5</v>
      </c>
      <c r="J535">
        <v>5</v>
      </c>
      <c r="K535">
        <v>15</v>
      </c>
      <c r="L535" s="1">
        <v>12</v>
      </c>
      <c r="M535" t="s">
        <v>90</v>
      </c>
      <c r="N535" s="1" t="s">
        <v>149</v>
      </c>
      <c r="O535">
        <f>L535/N535</f>
        <v>0.36363636363636365</v>
      </c>
      <c r="P535" s="1">
        <v>233</v>
      </c>
      <c r="Q535" s="1">
        <f>L535-N535</f>
        <v>-21</v>
      </c>
      <c r="R535" s="1">
        <v>243</v>
      </c>
      <c r="S535">
        <f>SUM(P535,R535)</f>
        <v>476</v>
      </c>
    </row>
    <row r="536" spans="1:19" x14ac:dyDescent="0.45">
      <c r="A536">
        <v>309</v>
      </c>
      <c r="B536" t="s">
        <v>81</v>
      </c>
      <c r="C536" t="s">
        <v>15</v>
      </c>
      <c r="D536" t="s">
        <v>16</v>
      </c>
      <c r="E536">
        <v>33</v>
      </c>
      <c r="F536" t="s">
        <v>17</v>
      </c>
      <c r="G536" t="s">
        <v>17</v>
      </c>
      <c r="H536">
        <v>3</v>
      </c>
      <c r="I536">
        <v>7.33</v>
      </c>
      <c r="J536">
        <v>8.67</v>
      </c>
      <c r="K536">
        <v>55</v>
      </c>
      <c r="L536" s="1">
        <v>16</v>
      </c>
      <c r="M536" t="s">
        <v>82</v>
      </c>
      <c r="N536" s="1" t="s">
        <v>83</v>
      </c>
      <c r="O536">
        <f>L536/N536</f>
        <v>0.3902439024390244</v>
      </c>
      <c r="P536" s="1">
        <v>221</v>
      </c>
      <c r="Q536" s="1">
        <f>L536-N536</f>
        <v>-25</v>
      </c>
      <c r="R536" s="1">
        <v>255</v>
      </c>
      <c r="S536">
        <f>SUM(P536,R536)</f>
        <v>476</v>
      </c>
    </row>
    <row r="537" spans="1:19" x14ac:dyDescent="0.45">
      <c r="A537">
        <v>531</v>
      </c>
      <c r="B537" t="s">
        <v>84</v>
      </c>
      <c r="C537" t="s">
        <v>15</v>
      </c>
      <c r="D537" t="s">
        <v>85</v>
      </c>
      <c r="E537">
        <v>32</v>
      </c>
      <c r="F537" t="s">
        <v>17</v>
      </c>
      <c r="G537" t="s">
        <v>17</v>
      </c>
      <c r="H537">
        <v>2</v>
      </c>
      <c r="I537">
        <v>6.75</v>
      </c>
      <c r="J537">
        <v>8.25</v>
      </c>
      <c r="K537">
        <v>54</v>
      </c>
      <c r="L537" s="1">
        <v>19</v>
      </c>
      <c r="M537" t="s">
        <v>72</v>
      </c>
      <c r="N537" s="1" t="s">
        <v>86</v>
      </c>
      <c r="O537">
        <f>L537/N537</f>
        <v>0.40425531914893614</v>
      </c>
      <c r="P537" s="1">
        <v>217</v>
      </c>
      <c r="Q537" s="1">
        <f>L537-N537</f>
        <v>-28</v>
      </c>
      <c r="R537" s="1">
        <v>260</v>
      </c>
      <c r="S537">
        <f>SUM(P537,R537)</f>
        <v>477</v>
      </c>
    </row>
    <row r="538" spans="1:19" x14ac:dyDescent="0.45">
      <c r="A538">
        <v>7212</v>
      </c>
      <c r="B538" t="s">
        <v>374</v>
      </c>
      <c r="C538" t="s">
        <v>15</v>
      </c>
      <c r="D538" t="s">
        <v>62</v>
      </c>
      <c r="E538">
        <v>27</v>
      </c>
      <c r="F538" t="s">
        <v>37</v>
      </c>
      <c r="G538" t="s">
        <v>248</v>
      </c>
      <c r="H538">
        <v>3</v>
      </c>
      <c r="I538">
        <v>5.33</v>
      </c>
      <c r="J538">
        <v>5.17</v>
      </c>
      <c r="K538">
        <v>8</v>
      </c>
      <c r="L538" s="1">
        <v>5</v>
      </c>
      <c r="M538" t="s">
        <v>90</v>
      </c>
      <c r="N538" s="1" t="s">
        <v>260</v>
      </c>
      <c r="O538">
        <f>L538/N538</f>
        <v>0.27777777777777779</v>
      </c>
      <c r="P538" s="1">
        <v>257</v>
      </c>
      <c r="Q538" s="1">
        <f>L538-N538</f>
        <v>-13</v>
      </c>
      <c r="R538" s="1">
        <v>222</v>
      </c>
      <c r="S538">
        <f>SUM(P538,R538)</f>
        <v>479</v>
      </c>
    </row>
    <row r="539" spans="1:19" x14ac:dyDescent="0.45">
      <c r="A539">
        <v>2423</v>
      </c>
      <c r="B539" t="s">
        <v>74</v>
      </c>
      <c r="C539" t="s">
        <v>15</v>
      </c>
      <c r="D539" t="s">
        <v>45</v>
      </c>
      <c r="E539">
        <v>28</v>
      </c>
      <c r="F539" t="s">
        <v>33</v>
      </c>
      <c r="G539" t="s">
        <v>34</v>
      </c>
      <c r="H539">
        <v>0</v>
      </c>
      <c r="I539">
        <v>0</v>
      </c>
      <c r="J539">
        <v>0</v>
      </c>
      <c r="K539">
        <v>70</v>
      </c>
      <c r="L539" s="1">
        <v>23</v>
      </c>
      <c r="M539" t="s">
        <v>23</v>
      </c>
      <c r="N539" s="1" t="s">
        <v>75</v>
      </c>
      <c r="O539">
        <f>L539/N539</f>
        <v>0.41818181818181815</v>
      </c>
      <c r="P539" s="1">
        <v>213</v>
      </c>
      <c r="Q539" s="1">
        <f>L539-N539</f>
        <v>-32</v>
      </c>
      <c r="R539" s="1">
        <v>267</v>
      </c>
      <c r="S539">
        <f>SUM(P539,R539)</f>
        <v>480</v>
      </c>
    </row>
    <row r="540" spans="1:19" x14ac:dyDescent="0.45">
      <c r="A540">
        <v>6844</v>
      </c>
      <c r="B540" t="s">
        <v>198</v>
      </c>
      <c r="C540" t="s">
        <v>15</v>
      </c>
      <c r="D540" t="s">
        <v>93</v>
      </c>
      <c r="E540">
        <v>23</v>
      </c>
      <c r="F540" t="s">
        <v>33</v>
      </c>
      <c r="G540" t="s">
        <v>171</v>
      </c>
      <c r="H540">
        <v>1</v>
      </c>
      <c r="I540">
        <v>5.5</v>
      </c>
      <c r="J540">
        <v>5.5</v>
      </c>
      <c r="K540">
        <v>20</v>
      </c>
      <c r="L540" s="1">
        <v>10</v>
      </c>
      <c r="M540" t="s">
        <v>19</v>
      </c>
      <c r="N540" s="1" t="s">
        <v>199</v>
      </c>
      <c r="O540">
        <f>L540/N540</f>
        <v>0.33333333333333331</v>
      </c>
      <c r="P540" s="1">
        <v>246</v>
      </c>
      <c r="Q540" s="1">
        <f>L540-N540</f>
        <v>-20</v>
      </c>
      <c r="R540" s="1">
        <v>236</v>
      </c>
      <c r="S540">
        <f>SUM(P540,R540)</f>
        <v>482</v>
      </c>
    </row>
    <row r="541" spans="1:19" x14ac:dyDescent="0.45">
      <c r="A541">
        <v>2788</v>
      </c>
      <c r="B541" t="s">
        <v>140</v>
      </c>
      <c r="C541" t="s">
        <v>15</v>
      </c>
      <c r="D541" t="s">
        <v>66</v>
      </c>
      <c r="E541">
        <v>29</v>
      </c>
      <c r="F541" t="s">
        <v>37</v>
      </c>
      <c r="G541" t="s">
        <v>141</v>
      </c>
      <c r="H541">
        <v>3</v>
      </c>
      <c r="I541">
        <v>6.67</v>
      </c>
      <c r="J541">
        <v>7.67</v>
      </c>
      <c r="K541">
        <v>30</v>
      </c>
      <c r="L541" s="1">
        <v>16</v>
      </c>
      <c r="M541" t="s">
        <v>42</v>
      </c>
      <c r="N541" s="1" t="s">
        <v>100</v>
      </c>
      <c r="O541">
        <f>L541/N541</f>
        <v>0.38095238095238093</v>
      </c>
      <c r="P541" s="1">
        <v>226</v>
      </c>
      <c r="Q541" s="1">
        <f>L541-N541</f>
        <v>-26</v>
      </c>
      <c r="R541" s="1">
        <v>257</v>
      </c>
      <c r="S541">
        <f>SUM(P541,R541)</f>
        <v>483</v>
      </c>
    </row>
    <row r="542" spans="1:19" x14ac:dyDescent="0.45">
      <c r="A542">
        <v>184</v>
      </c>
      <c r="B542" t="s">
        <v>267</v>
      </c>
      <c r="C542" t="s">
        <v>15</v>
      </c>
      <c r="D542" t="s">
        <v>62</v>
      </c>
      <c r="E542">
        <v>32</v>
      </c>
      <c r="F542" t="s">
        <v>33</v>
      </c>
      <c r="G542" t="s">
        <v>171</v>
      </c>
      <c r="H542">
        <v>3</v>
      </c>
      <c r="I542">
        <v>6.33</v>
      </c>
      <c r="J542">
        <v>6.33</v>
      </c>
      <c r="K542">
        <v>13</v>
      </c>
      <c r="L542" s="1">
        <v>10</v>
      </c>
      <c r="M542" t="s">
        <v>27</v>
      </c>
      <c r="N542" s="1" t="s">
        <v>199</v>
      </c>
      <c r="O542">
        <f>L542/N542</f>
        <v>0.33333333333333331</v>
      </c>
      <c r="P542" s="1">
        <v>248</v>
      </c>
      <c r="Q542" s="1">
        <f>L542-N542</f>
        <v>-20</v>
      </c>
      <c r="R542" s="1">
        <v>237</v>
      </c>
      <c r="S542">
        <f>SUM(P542,R542)</f>
        <v>485</v>
      </c>
    </row>
    <row r="543" spans="1:19" x14ac:dyDescent="0.45">
      <c r="A543">
        <v>6274</v>
      </c>
      <c r="B543" t="s">
        <v>184</v>
      </c>
      <c r="C543" t="s">
        <v>15</v>
      </c>
      <c r="D543" t="s">
        <v>22</v>
      </c>
      <c r="E543">
        <v>23</v>
      </c>
      <c r="F543" t="s">
        <v>33</v>
      </c>
      <c r="G543" t="s">
        <v>185</v>
      </c>
      <c r="H543">
        <v>2</v>
      </c>
      <c r="I543">
        <v>6.5</v>
      </c>
      <c r="J543">
        <v>7.5</v>
      </c>
      <c r="K543">
        <v>22</v>
      </c>
      <c r="L543" s="1">
        <v>9</v>
      </c>
      <c r="M543" t="s">
        <v>27</v>
      </c>
      <c r="N543" s="1" t="s">
        <v>186</v>
      </c>
      <c r="O543">
        <f>L543/N543</f>
        <v>0.31034482758620691</v>
      </c>
      <c r="P543" s="1">
        <v>254</v>
      </c>
      <c r="Q543" s="1">
        <f>L543-N543</f>
        <v>-20</v>
      </c>
      <c r="R543" s="1">
        <v>238</v>
      </c>
      <c r="S543">
        <f>SUM(P543,R543)</f>
        <v>492</v>
      </c>
    </row>
    <row r="544" spans="1:19" x14ac:dyDescent="0.45">
      <c r="A544">
        <v>5589</v>
      </c>
      <c r="B544" t="s">
        <v>206</v>
      </c>
      <c r="C544" t="s">
        <v>15</v>
      </c>
      <c r="D544" t="s">
        <v>16</v>
      </c>
      <c r="E544">
        <v>25</v>
      </c>
      <c r="F544" t="s">
        <v>33</v>
      </c>
      <c r="G544" t="s">
        <v>41</v>
      </c>
      <c r="H544">
        <v>3</v>
      </c>
      <c r="I544">
        <v>6.33</v>
      </c>
      <c r="J544">
        <v>6.17</v>
      </c>
      <c r="K544">
        <v>19</v>
      </c>
      <c r="L544" s="1">
        <v>10</v>
      </c>
      <c r="M544" t="s">
        <v>82</v>
      </c>
      <c r="N544" s="1" t="s">
        <v>168</v>
      </c>
      <c r="O544">
        <f>L544/N544</f>
        <v>0.32258064516129031</v>
      </c>
      <c r="P544" s="1">
        <v>249</v>
      </c>
      <c r="Q544" s="1">
        <f>L544-N544</f>
        <v>-21</v>
      </c>
      <c r="R544" s="1">
        <v>244</v>
      </c>
      <c r="S544">
        <f>SUM(P544,R544)</f>
        <v>493</v>
      </c>
    </row>
    <row r="545" spans="1:19" x14ac:dyDescent="0.45">
      <c r="A545">
        <v>5436</v>
      </c>
      <c r="B545" t="s">
        <v>147</v>
      </c>
      <c r="C545" t="s">
        <v>15</v>
      </c>
      <c r="D545" t="s">
        <v>148</v>
      </c>
      <c r="E545">
        <v>22</v>
      </c>
      <c r="F545" t="s">
        <v>17</v>
      </c>
      <c r="G545" t="s">
        <v>18</v>
      </c>
      <c r="H545">
        <v>3</v>
      </c>
      <c r="I545">
        <v>7</v>
      </c>
      <c r="J545">
        <v>10.83</v>
      </c>
      <c r="K545">
        <v>28</v>
      </c>
      <c r="L545" s="1">
        <v>11</v>
      </c>
      <c r="M545" t="s">
        <v>72</v>
      </c>
      <c r="N545" s="1" t="s">
        <v>149</v>
      </c>
      <c r="O545">
        <f>L545/N545</f>
        <v>0.33333333333333331</v>
      </c>
      <c r="P545" s="1">
        <v>247</v>
      </c>
      <c r="Q545" s="1">
        <f>L545-N545</f>
        <v>-22</v>
      </c>
      <c r="R545" s="1">
        <v>246</v>
      </c>
      <c r="S545">
        <f>SUM(P545,R545)</f>
        <v>493</v>
      </c>
    </row>
    <row r="546" spans="1:19" x14ac:dyDescent="0.45">
      <c r="A546">
        <v>6215</v>
      </c>
      <c r="B546" t="s">
        <v>434</v>
      </c>
      <c r="C546" t="s">
        <v>15</v>
      </c>
      <c r="D546" t="s">
        <v>26</v>
      </c>
      <c r="E546">
        <v>26</v>
      </c>
      <c r="F546" t="s">
        <v>17</v>
      </c>
      <c r="G546" t="s">
        <v>18</v>
      </c>
      <c r="H546">
        <v>2</v>
      </c>
      <c r="I546">
        <v>6</v>
      </c>
      <c r="J546">
        <v>6</v>
      </c>
      <c r="K546">
        <v>6</v>
      </c>
      <c r="L546" s="1">
        <v>3</v>
      </c>
      <c r="M546" t="s">
        <v>23</v>
      </c>
      <c r="N546" s="1" t="s">
        <v>91</v>
      </c>
      <c r="O546">
        <f>L546/N546</f>
        <v>0.2</v>
      </c>
      <c r="P546" s="1">
        <v>279</v>
      </c>
      <c r="Q546" s="1">
        <f>L546-N546</f>
        <v>-12</v>
      </c>
      <c r="R546" s="1">
        <v>217</v>
      </c>
      <c r="S546">
        <f>SUM(P546,R546)</f>
        <v>496</v>
      </c>
    </row>
    <row r="547" spans="1:19" x14ac:dyDescent="0.45">
      <c r="A547">
        <v>5687</v>
      </c>
      <c r="B547" t="s">
        <v>138</v>
      </c>
      <c r="C547" t="s">
        <v>15</v>
      </c>
      <c r="D547" t="s">
        <v>121</v>
      </c>
      <c r="E547">
        <v>29</v>
      </c>
      <c r="F547" t="s">
        <v>33</v>
      </c>
      <c r="G547" t="s">
        <v>59</v>
      </c>
      <c r="H547">
        <v>3</v>
      </c>
      <c r="I547">
        <v>5.33</v>
      </c>
      <c r="J547">
        <v>5.33</v>
      </c>
      <c r="K547">
        <v>33</v>
      </c>
      <c r="L547" s="1">
        <v>13</v>
      </c>
      <c r="M547" t="s">
        <v>42</v>
      </c>
      <c r="N547" s="1" t="s">
        <v>139</v>
      </c>
      <c r="O547">
        <f>L547/N547</f>
        <v>0.34210526315789475</v>
      </c>
      <c r="P547" s="1">
        <v>241</v>
      </c>
      <c r="Q547" s="1">
        <f>L547-N547</f>
        <v>-25</v>
      </c>
      <c r="R547" s="1">
        <v>256</v>
      </c>
      <c r="S547">
        <f>SUM(P547,R547)</f>
        <v>497</v>
      </c>
    </row>
    <row r="548" spans="1:19" x14ac:dyDescent="0.45">
      <c r="A548">
        <v>2167</v>
      </c>
      <c r="B548" t="s">
        <v>61</v>
      </c>
      <c r="C548" t="s">
        <v>15</v>
      </c>
      <c r="D548" t="s">
        <v>62</v>
      </c>
      <c r="E548">
        <v>29</v>
      </c>
      <c r="F548" t="s">
        <v>33</v>
      </c>
      <c r="G548" t="s">
        <v>63</v>
      </c>
      <c r="H548">
        <v>2</v>
      </c>
      <c r="I548">
        <v>5.75</v>
      </c>
      <c r="J548">
        <v>5.75</v>
      </c>
      <c r="K548">
        <v>76</v>
      </c>
      <c r="L548" s="1">
        <v>25</v>
      </c>
      <c r="M548" t="s">
        <v>23</v>
      </c>
      <c r="N548" s="1" t="s">
        <v>64</v>
      </c>
      <c r="O548">
        <f>L548/N548</f>
        <v>0.38461538461538464</v>
      </c>
      <c r="P548" s="1">
        <v>225</v>
      </c>
      <c r="Q548" s="1">
        <f>L548-N548</f>
        <v>-40</v>
      </c>
      <c r="R548" s="1">
        <v>274</v>
      </c>
      <c r="S548">
        <f>SUM(P548,R548)</f>
        <v>499</v>
      </c>
    </row>
    <row r="549" spans="1:19" x14ac:dyDescent="0.45">
      <c r="A549">
        <v>4433</v>
      </c>
      <c r="B549" t="s">
        <v>329</v>
      </c>
      <c r="C549" t="s">
        <v>15</v>
      </c>
      <c r="D549" t="s">
        <v>62</v>
      </c>
      <c r="E549">
        <v>27</v>
      </c>
      <c r="F549" t="s">
        <v>37</v>
      </c>
      <c r="G549" t="s">
        <v>208</v>
      </c>
      <c r="H549">
        <v>2</v>
      </c>
      <c r="I549">
        <v>6</v>
      </c>
      <c r="J549">
        <v>6</v>
      </c>
      <c r="K549">
        <v>10</v>
      </c>
      <c r="L549" s="1">
        <v>6</v>
      </c>
      <c r="M549" t="s">
        <v>69</v>
      </c>
      <c r="N549" s="1" t="s">
        <v>155</v>
      </c>
      <c r="O549">
        <f>L549/N549</f>
        <v>0.24</v>
      </c>
      <c r="P549" s="1">
        <v>268</v>
      </c>
      <c r="Q549" s="1">
        <f>L549-N549</f>
        <v>-19</v>
      </c>
      <c r="R549" s="1">
        <v>232</v>
      </c>
      <c r="S549">
        <f>SUM(P549,R549)</f>
        <v>500</v>
      </c>
    </row>
    <row r="550" spans="1:19" x14ac:dyDescent="0.45">
      <c r="A550">
        <v>5694</v>
      </c>
      <c r="B550" t="s">
        <v>169</v>
      </c>
      <c r="C550" t="s">
        <v>15</v>
      </c>
      <c r="D550" t="s">
        <v>123</v>
      </c>
      <c r="E550">
        <v>28</v>
      </c>
      <c r="F550" t="s">
        <v>17</v>
      </c>
      <c r="G550" t="s">
        <v>18</v>
      </c>
      <c r="H550">
        <v>2</v>
      </c>
      <c r="I550">
        <v>5.75</v>
      </c>
      <c r="J550">
        <v>5.75</v>
      </c>
      <c r="K550">
        <v>24</v>
      </c>
      <c r="L550" s="1">
        <v>14</v>
      </c>
      <c r="M550" t="s">
        <v>90</v>
      </c>
      <c r="N550" s="1" t="s">
        <v>83</v>
      </c>
      <c r="O550">
        <f>L550/N550</f>
        <v>0.34146341463414637</v>
      </c>
      <c r="P550" s="1">
        <v>242</v>
      </c>
      <c r="Q550" s="1">
        <f>L550-N550</f>
        <v>-27</v>
      </c>
      <c r="R550" s="1">
        <v>258</v>
      </c>
      <c r="S550">
        <f>SUM(P550,R550)</f>
        <v>500</v>
      </c>
    </row>
    <row r="551" spans="1:19" x14ac:dyDescent="0.45">
      <c r="A551">
        <v>7436</v>
      </c>
      <c r="B551" t="s">
        <v>190</v>
      </c>
      <c r="C551" t="s">
        <v>15</v>
      </c>
      <c r="D551" t="s">
        <v>66</v>
      </c>
      <c r="E551">
        <v>19</v>
      </c>
      <c r="F551" t="s">
        <v>33</v>
      </c>
      <c r="G551" t="s">
        <v>171</v>
      </c>
      <c r="H551">
        <v>2</v>
      </c>
      <c r="I551">
        <v>5.5</v>
      </c>
      <c r="J551">
        <v>5.5</v>
      </c>
      <c r="K551">
        <v>21</v>
      </c>
      <c r="L551" s="1">
        <v>11</v>
      </c>
      <c r="M551" t="s">
        <v>90</v>
      </c>
      <c r="N551" s="1" t="s">
        <v>88</v>
      </c>
      <c r="O551">
        <f>L551/N551</f>
        <v>0.31428571428571428</v>
      </c>
      <c r="P551" s="1">
        <v>251</v>
      </c>
      <c r="Q551" s="1">
        <f>L551-N551</f>
        <v>-24</v>
      </c>
      <c r="R551" s="1">
        <v>252</v>
      </c>
      <c r="S551">
        <f>SUM(P551,R551)</f>
        <v>503</v>
      </c>
    </row>
    <row r="552" spans="1:19" x14ac:dyDescent="0.45">
      <c r="A552">
        <v>7078</v>
      </c>
      <c r="B552" t="s">
        <v>197</v>
      </c>
      <c r="C552" t="s">
        <v>15</v>
      </c>
      <c r="D552" t="s">
        <v>123</v>
      </c>
      <c r="E552">
        <v>19</v>
      </c>
      <c r="F552" t="s">
        <v>33</v>
      </c>
      <c r="G552" t="s">
        <v>171</v>
      </c>
      <c r="H552">
        <v>4</v>
      </c>
      <c r="I552">
        <v>6.12</v>
      </c>
      <c r="J552">
        <v>8.3800000000000008</v>
      </c>
      <c r="K552">
        <v>20</v>
      </c>
      <c r="L552" s="1">
        <v>11</v>
      </c>
      <c r="M552" t="s">
        <v>53</v>
      </c>
      <c r="N552" s="1" t="s">
        <v>88</v>
      </c>
      <c r="O552">
        <f>L552/N552</f>
        <v>0.31428571428571428</v>
      </c>
      <c r="P552" s="1">
        <v>252</v>
      </c>
      <c r="Q552" s="1">
        <f>L552-N552</f>
        <v>-24</v>
      </c>
      <c r="R552" s="1">
        <v>253</v>
      </c>
      <c r="S552">
        <f>SUM(P552,R552)</f>
        <v>505</v>
      </c>
    </row>
    <row r="553" spans="1:19" x14ac:dyDescent="0.45">
      <c r="A553">
        <v>6908</v>
      </c>
      <c r="B553" t="s">
        <v>122</v>
      </c>
      <c r="C553" t="s">
        <v>15</v>
      </c>
      <c r="D553" t="s">
        <v>123</v>
      </c>
      <c r="E553">
        <v>23</v>
      </c>
      <c r="F553" t="s">
        <v>33</v>
      </c>
      <c r="G553" t="s">
        <v>49</v>
      </c>
      <c r="H553">
        <v>4</v>
      </c>
      <c r="I553">
        <v>5.38</v>
      </c>
      <c r="J553">
        <v>5.38</v>
      </c>
      <c r="K553">
        <v>36</v>
      </c>
      <c r="L553" s="1">
        <v>15</v>
      </c>
      <c r="M553" t="s">
        <v>23</v>
      </c>
      <c r="N553" s="1" t="s">
        <v>124</v>
      </c>
      <c r="O553">
        <f>L553/N553</f>
        <v>0.33333333333333331</v>
      </c>
      <c r="P553" s="1">
        <v>245</v>
      </c>
      <c r="Q553" s="1">
        <f>L553-N553</f>
        <v>-30</v>
      </c>
      <c r="R553" s="1">
        <v>263</v>
      </c>
      <c r="S553">
        <f>SUM(P553,R553)</f>
        <v>508</v>
      </c>
    </row>
    <row r="554" spans="1:19" x14ac:dyDescent="0.45">
      <c r="A554">
        <v>6680</v>
      </c>
      <c r="B554" t="s">
        <v>308</v>
      </c>
      <c r="C554" t="s">
        <v>15</v>
      </c>
      <c r="D554" t="s">
        <v>80</v>
      </c>
      <c r="E554">
        <v>31</v>
      </c>
      <c r="F554" t="s">
        <v>33</v>
      </c>
      <c r="G554" t="s">
        <v>41</v>
      </c>
      <c r="H554">
        <v>3</v>
      </c>
      <c r="I554">
        <v>6.67</v>
      </c>
      <c r="J554">
        <v>7.5</v>
      </c>
      <c r="K554">
        <v>10</v>
      </c>
      <c r="L554" s="1">
        <v>8</v>
      </c>
      <c r="M554" t="s">
        <v>82</v>
      </c>
      <c r="N554" s="1" t="s">
        <v>168</v>
      </c>
      <c r="O554">
        <f>L554/N554</f>
        <v>0.25806451612903225</v>
      </c>
      <c r="P554" s="1">
        <v>263</v>
      </c>
      <c r="Q554" s="1">
        <f>L554-N554</f>
        <v>-23</v>
      </c>
      <c r="R554" s="1">
        <v>247</v>
      </c>
      <c r="S554">
        <f>SUM(P554,R554)</f>
        <v>510</v>
      </c>
    </row>
    <row r="555" spans="1:19" x14ac:dyDescent="0.45">
      <c r="A555">
        <v>7556</v>
      </c>
      <c r="B555" t="s">
        <v>95</v>
      </c>
      <c r="C555" t="s">
        <v>15</v>
      </c>
      <c r="D555" t="s">
        <v>16</v>
      </c>
      <c r="E555">
        <v>19</v>
      </c>
      <c r="F555" t="s">
        <v>33</v>
      </c>
      <c r="G555" t="s">
        <v>59</v>
      </c>
      <c r="H555">
        <v>3</v>
      </c>
      <c r="I555">
        <v>6.5</v>
      </c>
      <c r="J555">
        <v>7.5</v>
      </c>
      <c r="K555">
        <v>50</v>
      </c>
      <c r="L555" s="1">
        <v>20</v>
      </c>
      <c r="M555" t="s">
        <v>46</v>
      </c>
      <c r="N555" s="1" t="s">
        <v>96</v>
      </c>
      <c r="O555">
        <f>L555/N555</f>
        <v>0.35087719298245612</v>
      </c>
      <c r="P555" s="1">
        <v>238</v>
      </c>
      <c r="Q555" s="1">
        <f>L555-N555</f>
        <v>-37</v>
      </c>
      <c r="R555" s="1">
        <v>273</v>
      </c>
      <c r="S555">
        <f>SUM(P555,R555)</f>
        <v>511</v>
      </c>
    </row>
    <row r="556" spans="1:19" x14ac:dyDescent="0.45">
      <c r="A556">
        <v>7301</v>
      </c>
      <c r="B556" t="s">
        <v>538</v>
      </c>
      <c r="C556" t="s">
        <v>15</v>
      </c>
      <c r="D556" t="s">
        <v>211</v>
      </c>
      <c r="E556">
        <v>24</v>
      </c>
      <c r="F556" t="s">
        <v>108</v>
      </c>
      <c r="G556" t="s">
        <v>109</v>
      </c>
      <c r="H556">
        <v>0</v>
      </c>
      <c r="I556">
        <v>0</v>
      </c>
      <c r="J556">
        <v>0</v>
      </c>
      <c r="K556">
        <v>5</v>
      </c>
      <c r="L556" s="1">
        <v>1</v>
      </c>
      <c r="M556" t="s">
        <v>90</v>
      </c>
      <c r="N556" s="1" t="s">
        <v>166</v>
      </c>
      <c r="O556">
        <f>L556/N556</f>
        <v>8.3333333333333329E-2</v>
      </c>
      <c r="P556" s="1">
        <v>300</v>
      </c>
      <c r="Q556" s="1">
        <f>L556-N556</f>
        <v>-11</v>
      </c>
      <c r="R556" s="1">
        <v>214</v>
      </c>
      <c r="S556">
        <f>SUM(P556,R556)</f>
        <v>514</v>
      </c>
    </row>
    <row r="557" spans="1:19" x14ac:dyDescent="0.45">
      <c r="A557">
        <v>254</v>
      </c>
      <c r="B557" t="s">
        <v>36</v>
      </c>
      <c r="C557" t="s">
        <v>15</v>
      </c>
      <c r="D557" t="s">
        <v>22</v>
      </c>
      <c r="E557">
        <v>29</v>
      </c>
      <c r="F557" t="s">
        <v>37</v>
      </c>
      <c r="G557" t="s">
        <v>38</v>
      </c>
      <c r="H557">
        <v>3</v>
      </c>
      <c r="I557">
        <v>6.33</v>
      </c>
      <c r="J557">
        <v>6.67</v>
      </c>
      <c r="K557">
        <v>125</v>
      </c>
      <c r="L557" s="1">
        <v>31</v>
      </c>
      <c r="M557" t="s">
        <v>23</v>
      </c>
      <c r="N557" s="1" t="s">
        <v>39</v>
      </c>
      <c r="O557">
        <f>L557/N557</f>
        <v>0.36470588235294116</v>
      </c>
      <c r="P557" s="1">
        <v>232</v>
      </c>
      <c r="Q557" s="1">
        <f>L557-N557</f>
        <v>-54</v>
      </c>
      <c r="R557" s="1">
        <v>286</v>
      </c>
      <c r="S557">
        <f>SUM(P557,R557)</f>
        <v>518</v>
      </c>
    </row>
    <row r="558" spans="1:19" x14ac:dyDescent="0.45">
      <c r="A558">
        <v>6646</v>
      </c>
      <c r="B558" t="s">
        <v>231</v>
      </c>
      <c r="C558" t="s">
        <v>15</v>
      </c>
      <c r="D558" t="s">
        <v>121</v>
      </c>
      <c r="E558">
        <v>30</v>
      </c>
      <c r="F558" t="s">
        <v>17</v>
      </c>
      <c r="G558" t="s">
        <v>17</v>
      </c>
      <c r="H558">
        <v>3</v>
      </c>
      <c r="I558">
        <v>6.67</v>
      </c>
      <c r="J558">
        <v>8.67</v>
      </c>
      <c r="K558">
        <v>16</v>
      </c>
      <c r="L558" s="1">
        <v>12</v>
      </c>
      <c r="M558" t="s">
        <v>72</v>
      </c>
      <c r="N558" s="1" t="s">
        <v>51</v>
      </c>
      <c r="O558">
        <f>L558/N558</f>
        <v>0.27906976744186046</v>
      </c>
      <c r="P558" s="1">
        <v>255</v>
      </c>
      <c r="Q558" s="1">
        <f>L558-N558</f>
        <v>-31</v>
      </c>
      <c r="R558" s="1">
        <v>264</v>
      </c>
      <c r="S558">
        <f>SUM(P558,R558)</f>
        <v>519</v>
      </c>
    </row>
    <row r="559" spans="1:19" x14ac:dyDescent="0.45">
      <c r="A559">
        <v>5882</v>
      </c>
      <c r="B559" t="s">
        <v>548</v>
      </c>
      <c r="C559" t="s">
        <v>15</v>
      </c>
      <c r="D559" t="s">
        <v>211</v>
      </c>
      <c r="E559">
        <v>28</v>
      </c>
      <c r="F559" t="s">
        <v>17</v>
      </c>
      <c r="G559" t="s">
        <v>17</v>
      </c>
      <c r="H559">
        <v>1</v>
      </c>
      <c r="I559">
        <v>6</v>
      </c>
      <c r="J559">
        <v>6</v>
      </c>
      <c r="K559">
        <v>4</v>
      </c>
      <c r="L559" s="1">
        <v>5</v>
      </c>
      <c r="M559" t="s">
        <v>69</v>
      </c>
      <c r="N559" s="1" t="s">
        <v>155</v>
      </c>
      <c r="O559">
        <f>L559/N559</f>
        <v>0.2</v>
      </c>
      <c r="P559" s="1">
        <v>281</v>
      </c>
      <c r="Q559" s="1">
        <f>L559-N559</f>
        <v>-20</v>
      </c>
      <c r="R559" s="1">
        <v>239</v>
      </c>
      <c r="S559">
        <f>SUM(P559,R559)</f>
        <v>520</v>
      </c>
    </row>
    <row r="560" spans="1:19" x14ac:dyDescent="0.45">
      <c r="A560">
        <v>2077</v>
      </c>
      <c r="B560" t="s">
        <v>295</v>
      </c>
      <c r="C560" t="s">
        <v>15</v>
      </c>
      <c r="D560" t="s">
        <v>93</v>
      </c>
      <c r="E560">
        <v>31</v>
      </c>
      <c r="F560" t="s">
        <v>33</v>
      </c>
      <c r="G560" t="s">
        <v>49</v>
      </c>
      <c r="H560">
        <v>3</v>
      </c>
      <c r="I560">
        <v>5.5</v>
      </c>
      <c r="J560">
        <v>5.5</v>
      </c>
      <c r="K560">
        <v>11</v>
      </c>
      <c r="L560" s="1">
        <v>8</v>
      </c>
      <c r="M560" t="s">
        <v>82</v>
      </c>
      <c r="N560" s="1" t="s">
        <v>218</v>
      </c>
      <c r="O560">
        <f>L560/N560</f>
        <v>0.25</v>
      </c>
      <c r="P560" s="1">
        <v>266</v>
      </c>
      <c r="Q560" s="1">
        <f>L560-N560</f>
        <v>-24</v>
      </c>
      <c r="R560" s="1">
        <v>254</v>
      </c>
      <c r="S560">
        <f>SUM(P560,R560)</f>
        <v>520</v>
      </c>
    </row>
    <row r="561" spans="1:19" x14ac:dyDescent="0.45">
      <c r="A561">
        <v>2194</v>
      </c>
      <c r="B561" t="s">
        <v>40</v>
      </c>
      <c r="C561" t="s">
        <v>15</v>
      </c>
      <c r="D561" t="s">
        <v>22</v>
      </c>
      <c r="E561">
        <v>32</v>
      </c>
      <c r="F561" t="s">
        <v>33</v>
      </c>
      <c r="G561" t="s">
        <v>41</v>
      </c>
      <c r="H561">
        <v>3</v>
      </c>
      <c r="I561">
        <v>6.67</v>
      </c>
      <c r="J561">
        <v>8.5</v>
      </c>
      <c r="K561">
        <v>121</v>
      </c>
      <c r="L561" s="1">
        <v>28</v>
      </c>
      <c r="M561" t="s">
        <v>42</v>
      </c>
      <c r="N561" s="1" t="s">
        <v>43</v>
      </c>
      <c r="O561">
        <f>L561/N561</f>
        <v>0.35</v>
      </c>
      <c r="P561" s="1">
        <v>239</v>
      </c>
      <c r="Q561" s="1">
        <f>L561-N561</f>
        <v>-52</v>
      </c>
      <c r="R561" s="1">
        <v>284</v>
      </c>
      <c r="S561">
        <f>SUM(P561,R561)</f>
        <v>523</v>
      </c>
    </row>
    <row r="562" spans="1:19" x14ac:dyDescent="0.45">
      <c r="A562">
        <v>7120</v>
      </c>
      <c r="B562" t="s">
        <v>387</v>
      </c>
      <c r="C562" t="s">
        <v>15</v>
      </c>
      <c r="D562" t="s">
        <v>26</v>
      </c>
      <c r="E562">
        <v>27</v>
      </c>
      <c r="F562" t="s">
        <v>17</v>
      </c>
      <c r="G562" t="s">
        <v>17</v>
      </c>
      <c r="H562">
        <v>2</v>
      </c>
      <c r="I562">
        <v>5.75</v>
      </c>
      <c r="J562">
        <v>5.75</v>
      </c>
      <c r="K562">
        <v>7</v>
      </c>
      <c r="L562" s="1">
        <v>3</v>
      </c>
      <c r="M562" t="s">
        <v>90</v>
      </c>
      <c r="N562" s="1" t="s">
        <v>172</v>
      </c>
      <c r="O562">
        <f>L562/N562</f>
        <v>0.14285714285714285</v>
      </c>
      <c r="P562" s="1">
        <v>295</v>
      </c>
      <c r="Q562" s="1">
        <f>L562-N562</f>
        <v>-18</v>
      </c>
      <c r="R562" s="1">
        <v>230</v>
      </c>
      <c r="S562">
        <f>SUM(P562,R562)</f>
        <v>525</v>
      </c>
    </row>
    <row r="563" spans="1:19" x14ac:dyDescent="0.45">
      <c r="A563">
        <v>133</v>
      </c>
      <c r="B563" t="s">
        <v>240</v>
      </c>
      <c r="C563" t="s">
        <v>15</v>
      </c>
      <c r="D563" t="s">
        <v>62</v>
      </c>
      <c r="E563">
        <v>35</v>
      </c>
      <c r="F563" t="s">
        <v>108</v>
      </c>
      <c r="G563" t="s">
        <v>109</v>
      </c>
      <c r="H563">
        <v>3</v>
      </c>
      <c r="I563">
        <v>5.83</v>
      </c>
      <c r="J563">
        <v>4.5</v>
      </c>
      <c r="K563">
        <v>16</v>
      </c>
      <c r="L563" s="1">
        <v>10</v>
      </c>
      <c r="M563" t="s">
        <v>42</v>
      </c>
      <c r="N563" s="1" t="s">
        <v>83</v>
      </c>
      <c r="O563">
        <f>L563/N563</f>
        <v>0.24390243902439024</v>
      </c>
      <c r="P563" s="1">
        <v>267</v>
      </c>
      <c r="Q563" s="1">
        <f>L563-N563</f>
        <v>-31</v>
      </c>
      <c r="R563" s="1">
        <v>265</v>
      </c>
      <c r="S563">
        <f>SUM(P563,R563)</f>
        <v>532</v>
      </c>
    </row>
    <row r="564" spans="1:19" x14ac:dyDescent="0.45">
      <c r="A564">
        <v>6482</v>
      </c>
      <c r="B564" t="s">
        <v>209</v>
      </c>
      <c r="C564" t="s">
        <v>15</v>
      </c>
      <c r="D564" t="s">
        <v>77</v>
      </c>
      <c r="E564">
        <v>25</v>
      </c>
      <c r="F564" t="s">
        <v>108</v>
      </c>
      <c r="G564" t="s">
        <v>109</v>
      </c>
      <c r="H564">
        <v>3</v>
      </c>
      <c r="I564">
        <v>6.33</v>
      </c>
      <c r="J564">
        <v>6</v>
      </c>
      <c r="K564">
        <v>19</v>
      </c>
      <c r="L564" s="1">
        <v>11</v>
      </c>
      <c r="M564" t="s">
        <v>72</v>
      </c>
      <c r="N564" s="1" t="s">
        <v>51</v>
      </c>
      <c r="O564">
        <f>L564/N564</f>
        <v>0.2558139534883721</v>
      </c>
      <c r="P564" s="1">
        <v>264</v>
      </c>
      <c r="Q564" s="1">
        <f>L564-N564</f>
        <v>-32</v>
      </c>
      <c r="R564" s="1">
        <v>268</v>
      </c>
      <c r="S564">
        <f>SUM(P564,R564)</f>
        <v>532</v>
      </c>
    </row>
    <row r="565" spans="1:19" x14ac:dyDescent="0.45">
      <c r="A565">
        <v>4179</v>
      </c>
      <c r="B565" t="s">
        <v>173</v>
      </c>
      <c r="C565" t="s">
        <v>15</v>
      </c>
      <c r="D565" t="s">
        <v>66</v>
      </c>
      <c r="E565">
        <v>28</v>
      </c>
      <c r="F565" t="s">
        <v>33</v>
      </c>
      <c r="G565" t="s">
        <v>63</v>
      </c>
      <c r="H565">
        <v>2</v>
      </c>
      <c r="I565">
        <v>7</v>
      </c>
      <c r="J565">
        <v>8.5</v>
      </c>
      <c r="K565">
        <v>24</v>
      </c>
      <c r="L565" s="1">
        <v>13</v>
      </c>
      <c r="M565" t="s">
        <v>53</v>
      </c>
      <c r="N565" s="1" t="s">
        <v>174</v>
      </c>
      <c r="O565">
        <f>L565/N565</f>
        <v>0.27083333333333331</v>
      </c>
      <c r="P565" s="1">
        <v>260</v>
      </c>
      <c r="Q565" s="1">
        <f>L565-N565</f>
        <v>-35</v>
      </c>
      <c r="R565" s="1">
        <v>272</v>
      </c>
      <c r="S565">
        <f>SUM(P565,R565)</f>
        <v>532</v>
      </c>
    </row>
    <row r="566" spans="1:19" x14ac:dyDescent="0.45">
      <c r="A566">
        <v>7126</v>
      </c>
      <c r="B566" t="s">
        <v>58</v>
      </c>
      <c r="C566" t="s">
        <v>15</v>
      </c>
      <c r="D566" t="s">
        <v>32</v>
      </c>
      <c r="E566">
        <v>23</v>
      </c>
      <c r="F566" t="s">
        <v>33</v>
      </c>
      <c r="G566" t="s">
        <v>59</v>
      </c>
      <c r="H566">
        <v>3</v>
      </c>
      <c r="I566">
        <v>6.67</v>
      </c>
      <c r="J566">
        <v>8.5</v>
      </c>
      <c r="K566">
        <v>78</v>
      </c>
      <c r="L566" s="1">
        <v>21</v>
      </c>
      <c r="M566" t="s">
        <v>56</v>
      </c>
      <c r="N566" s="1" t="s">
        <v>60</v>
      </c>
      <c r="O566">
        <f>L566/N566</f>
        <v>0.31343283582089554</v>
      </c>
      <c r="P566" s="1">
        <v>253</v>
      </c>
      <c r="Q566" s="1">
        <f>L566-N566</f>
        <v>-46</v>
      </c>
      <c r="R566" s="1">
        <v>282</v>
      </c>
      <c r="S566">
        <f>SUM(P566,R566)</f>
        <v>535</v>
      </c>
    </row>
    <row r="567" spans="1:19" x14ac:dyDescent="0.45">
      <c r="A567">
        <v>5116</v>
      </c>
      <c r="B567" t="s">
        <v>136</v>
      </c>
      <c r="C567" t="s">
        <v>15</v>
      </c>
      <c r="D567" t="s">
        <v>22</v>
      </c>
      <c r="E567">
        <v>28</v>
      </c>
      <c r="F567" t="s">
        <v>108</v>
      </c>
      <c r="G567" t="s">
        <v>109</v>
      </c>
      <c r="H567">
        <v>3</v>
      </c>
      <c r="I567">
        <v>6.17</v>
      </c>
      <c r="J567">
        <v>5.17</v>
      </c>
      <c r="K567">
        <v>34</v>
      </c>
      <c r="L567" s="1">
        <v>17</v>
      </c>
      <c r="M567" t="s">
        <v>50</v>
      </c>
      <c r="N567" s="1" t="s">
        <v>137</v>
      </c>
      <c r="O567">
        <f>L567/N567</f>
        <v>0.27868852459016391</v>
      </c>
      <c r="P567" s="1">
        <v>256</v>
      </c>
      <c r="Q567" s="1">
        <f>L567-N567</f>
        <v>-44</v>
      </c>
      <c r="R567" s="1">
        <v>280</v>
      </c>
      <c r="S567">
        <f>SUM(P567,R567)</f>
        <v>536</v>
      </c>
    </row>
    <row r="568" spans="1:19" x14ac:dyDescent="0.45">
      <c r="A568">
        <v>6618</v>
      </c>
      <c r="B568" t="s">
        <v>200</v>
      </c>
      <c r="C568" t="s">
        <v>15</v>
      </c>
      <c r="D568" t="s">
        <v>45</v>
      </c>
      <c r="E568">
        <v>20</v>
      </c>
      <c r="F568" t="s">
        <v>33</v>
      </c>
      <c r="G568" t="s">
        <v>171</v>
      </c>
      <c r="H568">
        <v>3</v>
      </c>
      <c r="I568">
        <v>6.5</v>
      </c>
      <c r="J568">
        <v>8.33</v>
      </c>
      <c r="K568">
        <v>20</v>
      </c>
      <c r="L568" s="1">
        <v>7</v>
      </c>
      <c r="M568" t="s">
        <v>53</v>
      </c>
      <c r="N568" s="1" t="s">
        <v>88</v>
      </c>
      <c r="O568">
        <f>L568/N568</f>
        <v>0.2</v>
      </c>
      <c r="P568" s="1">
        <v>278</v>
      </c>
      <c r="Q568" s="1">
        <f>L568-N568</f>
        <v>-28</v>
      </c>
      <c r="R568" s="1">
        <v>261</v>
      </c>
      <c r="S568">
        <f>SUM(P568,R568)</f>
        <v>539</v>
      </c>
    </row>
    <row r="569" spans="1:19" x14ac:dyDescent="0.45">
      <c r="A569">
        <v>4431</v>
      </c>
      <c r="B569" t="s">
        <v>145</v>
      </c>
      <c r="C569" t="s">
        <v>15</v>
      </c>
      <c r="D569" t="s">
        <v>93</v>
      </c>
      <c r="E569">
        <v>26</v>
      </c>
      <c r="F569" t="s">
        <v>108</v>
      </c>
      <c r="G569" t="s">
        <v>109</v>
      </c>
      <c r="H569">
        <v>3</v>
      </c>
      <c r="I569">
        <v>6.83</v>
      </c>
      <c r="J569">
        <v>6.17</v>
      </c>
      <c r="K569">
        <v>29</v>
      </c>
      <c r="L569" s="1">
        <v>17</v>
      </c>
      <c r="M569" t="s">
        <v>56</v>
      </c>
      <c r="N569" s="1" t="s">
        <v>146</v>
      </c>
      <c r="O569">
        <f>L569/N569</f>
        <v>0.27419354838709675</v>
      </c>
      <c r="P569" s="1">
        <v>258</v>
      </c>
      <c r="Q569" s="1">
        <f>L569-N569</f>
        <v>-45</v>
      </c>
      <c r="R569" s="1">
        <v>281</v>
      </c>
      <c r="S569">
        <f>SUM(P569,R569)</f>
        <v>539</v>
      </c>
    </row>
    <row r="570" spans="1:19" x14ac:dyDescent="0.45">
      <c r="A570">
        <v>2061</v>
      </c>
      <c r="B570" t="s">
        <v>120</v>
      </c>
      <c r="C570" t="s">
        <v>15</v>
      </c>
      <c r="D570" t="s">
        <v>121</v>
      </c>
      <c r="E570">
        <v>31</v>
      </c>
      <c r="F570" t="s">
        <v>17</v>
      </c>
      <c r="G570" t="s">
        <v>18</v>
      </c>
      <c r="H570">
        <v>3</v>
      </c>
      <c r="I570">
        <v>5.67</v>
      </c>
      <c r="J570">
        <v>5.67</v>
      </c>
      <c r="K570">
        <v>37</v>
      </c>
      <c r="L570" s="1">
        <v>14</v>
      </c>
      <c r="M570" t="s">
        <v>42</v>
      </c>
      <c r="N570" s="1" t="s">
        <v>75</v>
      </c>
      <c r="O570">
        <f>L570/N570</f>
        <v>0.25454545454545452</v>
      </c>
      <c r="P570" s="1">
        <v>265</v>
      </c>
      <c r="Q570" s="1">
        <f>L570-N570</f>
        <v>-41</v>
      </c>
      <c r="R570" s="1">
        <v>275</v>
      </c>
      <c r="S570">
        <f>SUM(P570,R570)</f>
        <v>540</v>
      </c>
    </row>
    <row r="571" spans="1:19" x14ac:dyDescent="0.45">
      <c r="A571">
        <v>7599</v>
      </c>
      <c r="B571" t="s">
        <v>512</v>
      </c>
      <c r="C571" t="s">
        <v>15</v>
      </c>
      <c r="D571" t="s">
        <v>16</v>
      </c>
      <c r="E571">
        <v>19</v>
      </c>
      <c r="F571" t="s">
        <v>37</v>
      </c>
      <c r="G571" t="s">
        <v>99</v>
      </c>
      <c r="H571">
        <v>3</v>
      </c>
      <c r="I571">
        <v>6.33</v>
      </c>
      <c r="J571">
        <v>6.33</v>
      </c>
      <c r="K571">
        <v>5</v>
      </c>
      <c r="L571" s="1">
        <v>3</v>
      </c>
      <c r="M571" t="s">
        <v>82</v>
      </c>
      <c r="N571" s="1" t="s">
        <v>183</v>
      </c>
      <c r="O571">
        <f>L571/N571</f>
        <v>0.11538461538461539</v>
      </c>
      <c r="P571" s="1">
        <v>298</v>
      </c>
      <c r="Q571" s="1">
        <f>L571-N571</f>
        <v>-23</v>
      </c>
      <c r="R571" s="1">
        <v>248</v>
      </c>
      <c r="S571">
        <f>SUM(P571,R571)</f>
        <v>546</v>
      </c>
    </row>
    <row r="572" spans="1:19" x14ac:dyDescent="0.45">
      <c r="A572">
        <v>6010</v>
      </c>
      <c r="B572" t="s">
        <v>253</v>
      </c>
      <c r="C572" t="s">
        <v>15</v>
      </c>
      <c r="D572" t="s">
        <v>242</v>
      </c>
      <c r="E572">
        <v>23</v>
      </c>
      <c r="F572" t="s">
        <v>33</v>
      </c>
      <c r="G572" t="s">
        <v>49</v>
      </c>
      <c r="H572">
        <v>3</v>
      </c>
      <c r="I572">
        <v>6</v>
      </c>
      <c r="J572">
        <v>6.17</v>
      </c>
      <c r="K572">
        <v>14</v>
      </c>
      <c r="L572" s="1">
        <v>8</v>
      </c>
      <c r="M572" t="s">
        <v>69</v>
      </c>
      <c r="N572" s="1" t="s">
        <v>106</v>
      </c>
      <c r="O572">
        <f>L572/N572</f>
        <v>0.2</v>
      </c>
      <c r="P572" s="1">
        <v>280</v>
      </c>
      <c r="Q572" s="1">
        <f>L572-N572</f>
        <v>-32</v>
      </c>
      <c r="R572" s="1">
        <v>269</v>
      </c>
      <c r="S572">
        <f>SUM(P572,R572)</f>
        <v>549</v>
      </c>
    </row>
    <row r="573" spans="1:19" x14ac:dyDescent="0.45">
      <c r="A573">
        <v>6831</v>
      </c>
      <c r="B573" t="s">
        <v>300</v>
      </c>
      <c r="C573" t="s">
        <v>15</v>
      </c>
      <c r="D573" t="s">
        <v>26</v>
      </c>
      <c r="E573">
        <v>29</v>
      </c>
      <c r="F573" t="s">
        <v>17</v>
      </c>
      <c r="G573" t="s">
        <v>63</v>
      </c>
      <c r="H573">
        <v>1</v>
      </c>
      <c r="I573">
        <v>5.5</v>
      </c>
      <c r="J573">
        <v>5.5</v>
      </c>
      <c r="K573">
        <v>10</v>
      </c>
      <c r="L573" s="1">
        <v>5</v>
      </c>
      <c r="M573" t="s">
        <v>53</v>
      </c>
      <c r="N573" s="1" t="s">
        <v>149</v>
      </c>
      <c r="O573">
        <f>L573/N573</f>
        <v>0.15151515151515152</v>
      </c>
      <c r="P573" s="1">
        <v>293</v>
      </c>
      <c r="Q573" s="1">
        <f>L573-N573</f>
        <v>-28</v>
      </c>
      <c r="R573" s="1">
        <v>262</v>
      </c>
      <c r="S573">
        <f>SUM(P573,R573)</f>
        <v>555</v>
      </c>
    </row>
    <row r="574" spans="1:19" x14ac:dyDescent="0.45">
      <c r="A574">
        <v>6875</v>
      </c>
      <c r="B574" t="s">
        <v>31</v>
      </c>
      <c r="C574" t="s">
        <v>15</v>
      </c>
      <c r="D574" t="s">
        <v>32</v>
      </c>
      <c r="E574">
        <v>22</v>
      </c>
      <c r="F574" t="s">
        <v>33</v>
      </c>
      <c r="G574" t="s">
        <v>34</v>
      </c>
      <c r="H574">
        <v>3</v>
      </c>
      <c r="I574">
        <v>6.17</v>
      </c>
      <c r="J574">
        <v>7.17</v>
      </c>
      <c r="K574">
        <v>125</v>
      </c>
      <c r="L574" s="1">
        <v>30</v>
      </c>
      <c r="M574" t="s">
        <v>19</v>
      </c>
      <c r="N574" s="1" t="s">
        <v>35</v>
      </c>
      <c r="O574">
        <f>L574/N574</f>
        <v>0.26785714285714285</v>
      </c>
      <c r="P574" s="1">
        <v>261</v>
      </c>
      <c r="Q574" s="1">
        <f>L574-N574</f>
        <v>-82</v>
      </c>
      <c r="R574" s="1">
        <v>294</v>
      </c>
      <c r="S574">
        <f>SUM(P574,R574)</f>
        <v>555</v>
      </c>
    </row>
    <row r="575" spans="1:19" x14ac:dyDescent="0.45">
      <c r="A575">
        <v>6294</v>
      </c>
      <c r="B575" t="s">
        <v>341</v>
      </c>
      <c r="C575" t="s">
        <v>15</v>
      </c>
      <c r="D575" t="s">
        <v>123</v>
      </c>
      <c r="E575">
        <v>22</v>
      </c>
      <c r="F575" t="s">
        <v>33</v>
      </c>
      <c r="G575" t="s">
        <v>33</v>
      </c>
      <c r="H575">
        <v>4</v>
      </c>
      <c r="I575">
        <v>5.5</v>
      </c>
      <c r="J575">
        <v>5.5</v>
      </c>
      <c r="K575">
        <v>9</v>
      </c>
      <c r="L575" s="1">
        <v>7</v>
      </c>
      <c r="M575" t="s">
        <v>90</v>
      </c>
      <c r="N575" s="1" t="s">
        <v>342</v>
      </c>
      <c r="O575">
        <f>L575/N575</f>
        <v>0.17948717948717949</v>
      </c>
      <c r="P575" s="1">
        <v>288</v>
      </c>
      <c r="Q575" s="1">
        <f>L575-N575</f>
        <v>-32</v>
      </c>
      <c r="R575" s="1">
        <v>270</v>
      </c>
      <c r="S575">
        <f>SUM(P575,R575)</f>
        <v>558</v>
      </c>
    </row>
    <row r="576" spans="1:19" x14ac:dyDescent="0.45">
      <c r="A576">
        <v>5792</v>
      </c>
      <c r="B576" t="s">
        <v>161</v>
      </c>
      <c r="C576" t="s">
        <v>15</v>
      </c>
      <c r="D576" t="s">
        <v>93</v>
      </c>
      <c r="E576">
        <v>27</v>
      </c>
      <c r="F576" t="s">
        <v>33</v>
      </c>
      <c r="G576" t="s">
        <v>41</v>
      </c>
      <c r="H576">
        <v>3</v>
      </c>
      <c r="I576">
        <v>6.17</v>
      </c>
      <c r="J576">
        <v>7.17</v>
      </c>
      <c r="K576">
        <v>25</v>
      </c>
      <c r="L576" s="1">
        <v>13</v>
      </c>
      <c r="M576" t="s">
        <v>27</v>
      </c>
      <c r="N576" s="1" t="s">
        <v>137</v>
      </c>
      <c r="O576">
        <f>L576/N576</f>
        <v>0.21311475409836064</v>
      </c>
      <c r="P576" s="1">
        <v>275</v>
      </c>
      <c r="Q576" s="1">
        <f>L576-N576</f>
        <v>-48</v>
      </c>
      <c r="R576" s="1">
        <v>283</v>
      </c>
      <c r="S576">
        <f>SUM(P576,R576)</f>
        <v>558</v>
      </c>
    </row>
    <row r="577" spans="1:19" x14ac:dyDescent="0.45">
      <c r="A577">
        <v>4465</v>
      </c>
      <c r="B577" t="s">
        <v>346</v>
      </c>
      <c r="C577" t="s">
        <v>15</v>
      </c>
      <c r="D577" t="s">
        <v>123</v>
      </c>
      <c r="E577">
        <v>25</v>
      </c>
      <c r="F577" t="s">
        <v>33</v>
      </c>
      <c r="G577" t="s">
        <v>41</v>
      </c>
      <c r="H577">
        <v>4</v>
      </c>
      <c r="I577">
        <v>5.88</v>
      </c>
      <c r="J577">
        <v>6</v>
      </c>
      <c r="K577">
        <v>9</v>
      </c>
      <c r="L577" s="1">
        <v>7</v>
      </c>
      <c r="M577" t="s">
        <v>90</v>
      </c>
      <c r="N577" s="1" t="s">
        <v>342</v>
      </c>
      <c r="O577">
        <f>L577/N577</f>
        <v>0.17948717948717949</v>
      </c>
      <c r="P577" s="1">
        <v>289</v>
      </c>
      <c r="Q577" s="1">
        <f>L577-N577</f>
        <v>-32</v>
      </c>
      <c r="R577" s="1">
        <v>271</v>
      </c>
      <c r="S577">
        <f>SUM(P577,R577)</f>
        <v>560</v>
      </c>
    </row>
    <row r="578" spans="1:19" x14ac:dyDescent="0.45">
      <c r="A578">
        <v>5841</v>
      </c>
      <c r="B578" t="s">
        <v>107</v>
      </c>
      <c r="C578" t="s">
        <v>15</v>
      </c>
      <c r="D578" t="s">
        <v>16</v>
      </c>
      <c r="E578">
        <v>27</v>
      </c>
      <c r="F578" t="s">
        <v>108</v>
      </c>
      <c r="G578" t="s">
        <v>109</v>
      </c>
      <c r="H578">
        <v>3</v>
      </c>
      <c r="I578">
        <v>6.17</v>
      </c>
      <c r="J578">
        <v>5.83</v>
      </c>
      <c r="K578">
        <v>42</v>
      </c>
      <c r="L578" s="1">
        <v>18</v>
      </c>
      <c r="M578" t="s">
        <v>82</v>
      </c>
      <c r="N578" s="1" t="s">
        <v>110</v>
      </c>
      <c r="O578">
        <f>L578/N578</f>
        <v>0.23684210526315788</v>
      </c>
      <c r="P578" s="1">
        <v>270</v>
      </c>
      <c r="Q578" s="1">
        <f>L578-N578</f>
        <v>-58</v>
      </c>
      <c r="R578" s="1">
        <v>290</v>
      </c>
      <c r="S578">
        <f>SUM(P578,R578)</f>
        <v>560</v>
      </c>
    </row>
    <row r="579" spans="1:19" x14ac:dyDescent="0.45">
      <c r="A579">
        <v>4964</v>
      </c>
      <c r="B579" t="s">
        <v>132</v>
      </c>
      <c r="C579" t="s">
        <v>15</v>
      </c>
      <c r="D579" t="s">
        <v>66</v>
      </c>
      <c r="E579">
        <v>30</v>
      </c>
      <c r="F579" t="s">
        <v>108</v>
      </c>
      <c r="G579" t="s">
        <v>109</v>
      </c>
      <c r="H579">
        <v>3</v>
      </c>
      <c r="I579">
        <v>6.17</v>
      </c>
      <c r="J579">
        <v>5.83</v>
      </c>
      <c r="K579">
        <v>35</v>
      </c>
      <c r="L579" s="1">
        <v>16</v>
      </c>
      <c r="M579" t="s">
        <v>19</v>
      </c>
      <c r="N579" s="1" t="s">
        <v>133</v>
      </c>
      <c r="O579">
        <f>L579/N579</f>
        <v>0.22535211267605634</v>
      </c>
      <c r="P579" s="1">
        <v>274</v>
      </c>
      <c r="Q579" s="1">
        <f>L579-N579</f>
        <v>-55</v>
      </c>
      <c r="R579" s="1">
        <v>287</v>
      </c>
      <c r="S579">
        <f>SUM(P579,R579)</f>
        <v>561</v>
      </c>
    </row>
    <row r="580" spans="1:19" x14ac:dyDescent="0.45">
      <c r="A580">
        <v>7374</v>
      </c>
      <c r="B580" t="s">
        <v>386</v>
      </c>
      <c r="C580" t="s">
        <v>15</v>
      </c>
      <c r="D580" t="s">
        <v>242</v>
      </c>
      <c r="E580">
        <v>19</v>
      </c>
      <c r="F580" t="s">
        <v>17</v>
      </c>
      <c r="G580" t="s">
        <v>18</v>
      </c>
      <c r="H580">
        <v>3</v>
      </c>
      <c r="I580">
        <v>6</v>
      </c>
      <c r="J580">
        <v>6</v>
      </c>
      <c r="K580">
        <v>7</v>
      </c>
      <c r="L580" s="1">
        <v>5</v>
      </c>
      <c r="M580" t="s">
        <v>82</v>
      </c>
      <c r="N580" s="1" t="s">
        <v>104</v>
      </c>
      <c r="O580">
        <f>L580/N580</f>
        <v>0.1388888888888889</v>
      </c>
      <c r="P580" s="1">
        <v>296</v>
      </c>
      <c r="Q580" s="1">
        <f>L580-N580</f>
        <v>-31</v>
      </c>
      <c r="R580" s="1">
        <v>266</v>
      </c>
      <c r="S580">
        <f>SUM(P580,R580)</f>
        <v>562</v>
      </c>
    </row>
    <row r="581" spans="1:19" x14ac:dyDescent="0.45">
      <c r="A581">
        <v>7600</v>
      </c>
      <c r="B581" t="s">
        <v>219</v>
      </c>
      <c r="C581" t="s">
        <v>15</v>
      </c>
      <c r="D581" t="s">
        <v>151</v>
      </c>
      <c r="E581">
        <v>27</v>
      </c>
      <c r="F581" t="s">
        <v>17</v>
      </c>
      <c r="G581" t="s">
        <v>18</v>
      </c>
      <c r="H581">
        <v>2</v>
      </c>
      <c r="I581">
        <v>6</v>
      </c>
      <c r="J581">
        <v>7.5</v>
      </c>
      <c r="K581">
        <v>17</v>
      </c>
      <c r="L581" s="1">
        <v>9</v>
      </c>
      <c r="M581" t="s">
        <v>69</v>
      </c>
      <c r="N581" s="1" t="s">
        <v>70</v>
      </c>
      <c r="O581">
        <f>L581/N581</f>
        <v>0.18</v>
      </c>
      <c r="P581" s="1">
        <v>286</v>
      </c>
      <c r="Q581" s="1">
        <f>L581-N581</f>
        <v>-41</v>
      </c>
      <c r="R581" s="1">
        <v>276</v>
      </c>
      <c r="S581">
        <f>SUM(P581,R581)</f>
        <v>562</v>
      </c>
    </row>
    <row r="582" spans="1:19" x14ac:dyDescent="0.45">
      <c r="A582">
        <v>6572</v>
      </c>
      <c r="B582" t="s">
        <v>128</v>
      </c>
      <c r="C582" t="s">
        <v>15</v>
      </c>
      <c r="D582" t="s">
        <v>16</v>
      </c>
      <c r="E582">
        <v>22</v>
      </c>
      <c r="F582" t="s">
        <v>17</v>
      </c>
      <c r="G582" t="s">
        <v>18</v>
      </c>
      <c r="H582">
        <v>3</v>
      </c>
      <c r="I582">
        <v>6.17</v>
      </c>
      <c r="J582">
        <v>6.17</v>
      </c>
      <c r="K582">
        <v>35</v>
      </c>
      <c r="L582" s="1">
        <v>14</v>
      </c>
      <c r="M582" t="s">
        <v>56</v>
      </c>
      <c r="N582" s="1" t="s">
        <v>60</v>
      </c>
      <c r="O582">
        <f>L582/N582</f>
        <v>0.20895522388059701</v>
      </c>
      <c r="P582" s="1">
        <v>277</v>
      </c>
      <c r="Q582" s="1">
        <f>L582-N582</f>
        <v>-53</v>
      </c>
      <c r="R582" s="1">
        <v>285</v>
      </c>
      <c r="S582">
        <f>SUM(P582,R582)</f>
        <v>562</v>
      </c>
    </row>
    <row r="583" spans="1:19" x14ac:dyDescent="0.45">
      <c r="A583">
        <v>2137</v>
      </c>
      <c r="B583" t="s">
        <v>92</v>
      </c>
      <c r="C583" t="s">
        <v>15</v>
      </c>
      <c r="D583" t="s">
        <v>93</v>
      </c>
      <c r="E583">
        <v>27</v>
      </c>
      <c r="F583" t="s">
        <v>17</v>
      </c>
      <c r="G583" t="s">
        <v>18</v>
      </c>
      <c r="H583">
        <v>3</v>
      </c>
      <c r="I583">
        <v>5.83</v>
      </c>
      <c r="J583">
        <v>5.83</v>
      </c>
      <c r="K583">
        <v>50</v>
      </c>
      <c r="L583" s="1">
        <v>19</v>
      </c>
      <c r="M583" t="s">
        <v>42</v>
      </c>
      <c r="N583" s="1" t="s">
        <v>94</v>
      </c>
      <c r="O583">
        <f>L583/N583</f>
        <v>0.23456790123456789</v>
      </c>
      <c r="P583" s="1">
        <v>271</v>
      </c>
      <c r="Q583" s="1">
        <f>L583-N583</f>
        <v>-62</v>
      </c>
      <c r="R583" s="1">
        <v>291</v>
      </c>
      <c r="S583">
        <f>SUM(P583,R583)</f>
        <v>562</v>
      </c>
    </row>
    <row r="584" spans="1:19" x14ac:dyDescent="0.45">
      <c r="A584">
        <v>827</v>
      </c>
      <c r="B584" t="s">
        <v>266</v>
      </c>
      <c r="C584" t="s">
        <v>15</v>
      </c>
      <c r="D584" t="s">
        <v>66</v>
      </c>
      <c r="E584">
        <v>28</v>
      </c>
      <c r="F584" t="s">
        <v>33</v>
      </c>
      <c r="G584" t="s">
        <v>41</v>
      </c>
      <c r="H584">
        <v>3</v>
      </c>
      <c r="I584">
        <v>6.17</v>
      </c>
      <c r="J584">
        <v>6.33</v>
      </c>
      <c r="K584">
        <v>13</v>
      </c>
      <c r="L584" s="1">
        <v>9</v>
      </c>
      <c r="M584" t="s">
        <v>69</v>
      </c>
      <c r="N584" s="1" t="s">
        <v>70</v>
      </c>
      <c r="O584">
        <f>L584/N584</f>
        <v>0.18</v>
      </c>
      <c r="P584" s="1">
        <v>287</v>
      </c>
      <c r="Q584" s="1">
        <f>L584-N584</f>
        <v>-41</v>
      </c>
      <c r="R584" s="1">
        <v>277</v>
      </c>
      <c r="S584">
        <f>SUM(P584,R584)</f>
        <v>564</v>
      </c>
    </row>
    <row r="585" spans="1:19" x14ac:dyDescent="0.45">
      <c r="A585">
        <v>5734</v>
      </c>
      <c r="B585" t="s">
        <v>153</v>
      </c>
      <c r="C585" t="s">
        <v>15</v>
      </c>
      <c r="D585" t="s">
        <v>16</v>
      </c>
      <c r="E585">
        <v>23</v>
      </c>
      <c r="F585" t="s">
        <v>17</v>
      </c>
      <c r="G585" t="s">
        <v>17</v>
      </c>
      <c r="H585">
        <v>3</v>
      </c>
      <c r="I585">
        <v>6.83</v>
      </c>
      <c r="J585">
        <v>9.17</v>
      </c>
      <c r="K585">
        <v>27</v>
      </c>
      <c r="L585" s="1">
        <v>15</v>
      </c>
      <c r="M585" t="s">
        <v>82</v>
      </c>
      <c r="N585" s="1" t="s">
        <v>133</v>
      </c>
      <c r="O585">
        <f>L585/N585</f>
        <v>0.21126760563380281</v>
      </c>
      <c r="P585" s="1">
        <v>276</v>
      </c>
      <c r="Q585" s="1">
        <f>L585-N585</f>
        <v>-56</v>
      </c>
      <c r="R585" s="1">
        <v>289</v>
      </c>
      <c r="S585">
        <f>SUM(P585,R585)</f>
        <v>565</v>
      </c>
    </row>
    <row r="586" spans="1:19" x14ac:dyDescent="0.45">
      <c r="A586">
        <v>6052</v>
      </c>
      <c r="B586" t="s">
        <v>25</v>
      </c>
      <c r="C586" t="s">
        <v>15</v>
      </c>
      <c r="D586" t="s">
        <v>26</v>
      </c>
      <c r="E586">
        <v>23</v>
      </c>
      <c r="F586" t="s">
        <v>17</v>
      </c>
      <c r="G586" t="s">
        <v>18</v>
      </c>
      <c r="H586">
        <v>3</v>
      </c>
      <c r="I586">
        <v>6.5</v>
      </c>
      <c r="J586">
        <v>8.5</v>
      </c>
      <c r="K586">
        <v>143</v>
      </c>
      <c r="L586" s="1">
        <v>29</v>
      </c>
      <c r="M586" t="s">
        <v>27</v>
      </c>
      <c r="N586" s="1" t="s">
        <v>28</v>
      </c>
      <c r="O586">
        <f>L586/N586</f>
        <v>0.23966942148760331</v>
      </c>
      <c r="P586" s="1">
        <v>269</v>
      </c>
      <c r="Q586" s="1">
        <f>L586-N586</f>
        <v>-92</v>
      </c>
      <c r="R586" s="1">
        <v>296</v>
      </c>
      <c r="S586">
        <f>SUM(P586,R586)</f>
        <v>565</v>
      </c>
    </row>
    <row r="587" spans="1:19" x14ac:dyDescent="0.45">
      <c r="A587">
        <v>7017</v>
      </c>
      <c r="B587" t="s">
        <v>55</v>
      </c>
      <c r="C587" t="s">
        <v>15</v>
      </c>
      <c r="D587" t="s">
        <v>32</v>
      </c>
      <c r="E587">
        <v>27</v>
      </c>
      <c r="F587" t="s">
        <v>17</v>
      </c>
      <c r="G587" t="s">
        <v>18</v>
      </c>
      <c r="H587">
        <v>3</v>
      </c>
      <c r="I587">
        <v>6.33</v>
      </c>
      <c r="J587">
        <v>8.33</v>
      </c>
      <c r="K587">
        <v>90</v>
      </c>
      <c r="L587" s="1">
        <v>21</v>
      </c>
      <c r="M587" t="s">
        <v>56</v>
      </c>
      <c r="N587" s="1" t="s">
        <v>57</v>
      </c>
      <c r="O587">
        <f>L587/N587</f>
        <v>0.22826086956521738</v>
      </c>
      <c r="P587" s="1">
        <v>273</v>
      </c>
      <c r="Q587" s="1">
        <f>L587-N587</f>
        <v>-71</v>
      </c>
      <c r="R587" s="1">
        <v>293</v>
      </c>
      <c r="S587">
        <f>SUM(P587,R587)</f>
        <v>566</v>
      </c>
    </row>
    <row r="588" spans="1:19" x14ac:dyDescent="0.45">
      <c r="A588">
        <v>4287</v>
      </c>
      <c r="B588" t="s">
        <v>282</v>
      </c>
      <c r="C588" t="s">
        <v>15</v>
      </c>
      <c r="D588" t="s">
        <v>26</v>
      </c>
      <c r="E588">
        <v>32</v>
      </c>
      <c r="F588" t="s">
        <v>33</v>
      </c>
      <c r="G588" t="s">
        <v>41</v>
      </c>
      <c r="H588">
        <v>3</v>
      </c>
      <c r="I588">
        <v>6.33</v>
      </c>
      <c r="J588">
        <v>6.33</v>
      </c>
      <c r="K588">
        <v>12</v>
      </c>
      <c r="L588" s="1">
        <v>8</v>
      </c>
      <c r="M588" t="s">
        <v>69</v>
      </c>
      <c r="N588" s="1" t="s">
        <v>70</v>
      </c>
      <c r="O588">
        <f>L588/N588</f>
        <v>0.16</v>
      </c>
      <c r="P588" s="1">
        <v>290</v>
      </c>
      <c r="Q588" s="1">
        <f>L588-N588</f>
        <v>-42</v>
      </c>
      <c r="R588" s="1">
        <v>278</v>
      </c>
      <c r="S588">
        <f>SUM(P588,R588)</f>
        <v>568</v>
      </c>
    </row>
    <row r="589" spans="1:19" x14ac:dyDescent="0.45">
      <c r="A589">
        <v>2764</v>
      </c>
      <c r="B589" t="s">
        <v>21</v>
      </c>
      <c r="C589" t="s">
        <v>15</v>
      </c>
      <c r="D589" t="s">
        <v>22</v>
      </c>
      <c r="E589">
        <v>29</v>
      </c>
      <c r="F589" t="s">
        <v>17</v>
      </c>
      <c r="G589" t="s">
        <v>18</v>
      </c>
      <c r="H589">
        <v>3</v>
      </c>
      <c r="I589">
        <v>6.33</v>
      </c>
      <c r="J589">
        <v>8</v>
      </c>
      <c r="K589">
        <v>195</v>
      </c>
      <c r="L589" s="1">
        <v>35</v>
      </c>
      <c r="M589" t="s">
        <v>23</v>
      </c>
      <c r="N589" s="1" t="s">
        <v>24</v>
      </c>
      <c r="O589">
        <f>L589/N589</f>
        <v>0.23333333333333334</v>
      </c>
      <c r="P589" s="1">
        <v>272</v>
      </c>
      <c r="Q589" s="1">
        <f>L589-N589</f>
        <v>-115</v>
      </c>
      <c r="R589" s="1">
        <v>298</v>
      </c>
      <c r="S589">
        <f>SUM(P589,R589)</f>
        <v>570</v>
      </c>
    </row>
    <row r="590" spans="1:19" x14ac:dyDescent="0.45">
      <c r="A590">
        <v>4485</v>
      </c>
      <c r="B590" t="s">
        <v>613</v>
      </c>
      <c r="C590" t="s">
        <v>15</v>
      </c>
      <c r="D590" t="s">
        <v>211</v>
      </c>
      <c r="E590">
        <v>28</v>
      </c>
      <c r="F590" t="s">
        <v>108</v>
      </c>
      <c r="G590" t="s">
        <v>109</v>
      </c>
      <c r="H590">
        <v>2</v>
      </c>
      <c r="I590">
        <v>5.25</v>
      </c>
      <c r="J590">
        <v>3.25</v>
      </c>
      <c r="K590">
        <v>3</v>
      </c>
      <c r="L590" s="1">
        <v>4</v>
      </c>
      <c r="M590" t="s">
        <v>53</v>
      </c>
      <c r="N590" s="1" t="s">
        <v>54</v>
      </c>
      <c r="O590">
        <f>L590/N590</f>
        <v>8.6956521739130432E-2</v>
      </c>
      <c r="P590" s="1">
        <v>299</v>
      </c>
      <c r="Q590" s="1">
        <f>L590-N590</f>
        <v>-42</v>
      </c>
      <c r="R590" s="1">
        <v>279</v>
      </c>
      <c r="S590">
        <f>SUM(P590,R590)</f>
        <v>578</v>
      </c>
    </row>
    <row r="591" spans="1:19" x14ac:dyDescent="0.45">
      <c r="A591">
        <v>2521</v>
      </c>
      <c r="B591" t="s">
        <v>274</v>
      </c>
      <c r="C591" t="s">
        <v>15</v>
      </c>
      <c r="D591" t="s">
        <v>123</v>
      </c>
      <c r="E591">
        <v>36</v>
      </c>
      <c r="F591" t="s">
        <v>108</v>
      </c>
      <c r="G591" t="s">
        <v>109</v>
      </c>
      <c r="H591">
        <v>4</v>
      </c>
      <c r="I591">
        <v>5.62</v>
      </c>
      <c r="J591">
        <v>2.88</v>
      </c>
      <c r="K591">
        <v>13</v>
      </c>
      <c r="L591" s="1">
        <v>10</v>
      </c>
      <c r="M591" t="s">
        <v>53</v>
      </c>
      <c r="N591" s="1" t="s">
        <v>64</v>
      </c>
      <c r="O591">
        <f>L591/N591</f>
        <v>0.15384615384615385</v>
      </c>
      <c r="P591" s="1">
        <v>292</v>
      </c>
      <c r="Q591" s="1">
        <f>L591-N591</f>
        <v>-55</v>
      </c>
      <c r="R591" s="1">
        <v>288</v>
      </c>
      <c r="S591">
        <f>SUM(P591,R591)</f>
        <v>580</v>
      </c>
    </row>
    <row r="592" spans="1:19" x14ac:dyDescent="0.45">
      <c r="A592">
        <v>5951</v>
      </c>
      <c r="B592" t="s">
        <v>65</v>
      </c>
      <c r="C592" t="s">
        <v>15</v>
      </c>
      <c r="D592" t="s">
        <v>66</v>
      </c>
      <c r="E592">
        <v>28</v>
      </c>
      <c r="F592" t="s">
        <v>17</v>
      </c>
      <c r="G592" t="s">
        <v>18</v>
      </c>
      <c r="H592">
        <v>3</v>
      </c>
      <c r="I592">
        <v>5.17</v>
      </c>
      <c r="J592">
        <v>5.17</v>
      </c>
      <c r="K592">
        <v>72</v>
      </c>
      <c r="L592" s="1">
        <v>24</v>
      </c>
      <c r="M592" t="s">
        <v>50</v>
      </c>
      <c r="N592" s="1" t="s">
        <v>67</v>
      </c>
      <c r="O592">
        <f>L592/N592</f>
        <v>0.18320610687022901</v>
      </c>
      <c r="P592" s="1">
        <v>284</v>
      </c>
      <c r="Q592" s="1">
        <f>L592-N592</f>
        <v>-107</v>
      </c>
      <c r="R592" s="1">
        <v>297</v>
      </c>
      <c r="S592">
        <f>SUM(P592,R592)</f>
        <v>581</v>
      </c>
    </row>
    <row r="593" spans="1:19" x14ac:dyDescent="0.45">
      <c r="A593">
        <v>4371</v>
      </c>
      <c r="B593" t="s">
        <v>134</v>
      </c>
      <c r="C593" t="s">
        <v>15</v>
      </c>
      <c r="D593" t="s">
        <v>93</v>
      </c>
      <c r="E593">
        <v>26</v>
      </c>
      <c r="F593" t="s">
        <v>17</v>
      </c>
      <c r="G593" t="s">
        <v>17</v>
      </c>
      <c r="H593">
        <v>2</v>
      </c>
      <c r="I593">
        <v>6.25</v>
      </c>
      <c r="J593">
        <v>7.75</v>
      </c>
      <c r="K593">
        <v>34</v>
      </c>
      <c r="L593" s="1">
        <v>13</v>
      </c>
      <c r="M593" t="s">
        <v>72</v>
      </c>
      <c r="N593" s="1" t="s">
        <v>135</v>
      </c>
      <c r="O593">
        <f>L593/N593</f>
        <v>0.15662650602409639</v>
      </c>
      <c r="P593" s="1">
        <v>291</v>
      </c>
      <c r="Q593" s="1">
        <f>L593-N593</f>
        <v>-70</v>
      </c>
      <c r="R593" s="1">
        <v>292</v>
      </c>
      <c r="S593">
        <f>SUM(P593,R593)</f>
        <v>583</v>
      </c>
    </row>
    <row r="594" spans="1:19" x14ac:dyDescent="0.45">
      <c r="A594">
        <v>5585</v>
      </c>
      <c r="B594" t="s">
        <v>14</v>
      </c>
      <c r="C594" t="s">
        <v>15</v>
      </c>
      <c r="D594" t="s">
        <v>16</v>
      </c>
      <c r="E594">
        <v>27</v>
      </c>
      <c r="F594" t="s">
        <v>17</v>
      </c>
      <c r="G594" t="s">
        <v>18</v>
      </c>
      <c r="H594">
        <v>3</v>
      </c>
      <c r="I594">
        <v>7.5</v>
      </c>
      <c r="J594">
        <v>12.33</v>
      </c>
      <c r="K594">
        <v>223</v>
      </c>
      <c r="L594" s="1">
        <v>37</v>
      </c>
      <c r="M594" t="s">
        <v>19</v>
      </c>
      <c r="N594" s="1" t="s">
        <v>20</v>
      </c>
      <c r="O594">
        <f>L594/N594</f>
        <v>0.18226600985221675</v>
      </c>
      <c r="P594" s="1">
        <v>285</v>
      </c>
      <c r="Q594" s="1">
        <f>L594-N594</f>
        <v>-166</v>
      </c>
      <c r="R594" s="1">
        <v>299</v>
      </c>
      <c r="S594">
        <f>SUM(P594,R594)</f>
        <v>584</v>
      </c>
    </row>
    <row r="595" spans="1:19" x14ac:dyDescent="0.45">
      <c r="A595">
        <v>4312</v>
      </c>
      <c r="B595" t="s">
        <v>156</v>
      </c>
      <c r="C595" t="s">
        <v>15</v>
      </c>
      <c r="D595" t="s">
        <v>45</v>
      </c>
      <c r="E595">
        <v>31</v>
      </c>
      <c r="F595" t="s">
        <v>108</v>
      </c>
      <c r="G595" t="s">
        <v>109</v>
      </c>
      <c r="H595">
        <v>3</v>
      </c>
      <c r="I595">
        <v>6</v>
      </c>
      <c r="J595">
        <v>5.33</v>
      </c>
      <c r="K595">
        <v>26</v>
      </c>
      <c r="L595" s="1">
        <v>15</v>
      </c>
      <c r="M595" t="s">
        <v>27</v>
      </c>
      <c r="N595" s="1" t="s">
        <v>157</v>
      </c>
      <c r="O595">
        <f>L595/N595</f>
        <v>0.15</v>
      </c>
      <c r="P595" s="1">
        <v>294</v>
      </c>
      <c r="Q595" s="1">
        <f>L595-N595</f>
        <v>-85</v>
      </c>
      <c r="R595" s="1">
        <v>295</v>
      </c>
      <c r="S595">
        <f>SUM(P595,R595)</f>
        <v>589</v>
      </c>
    </row>
    <row r="596" spans="1:19" x14ac:dyDescent="0.45">
      <c r="A596">
        <v>6397</v>
      </c>
      <c r="B596" t="s">
        <v>44</v>
      </c>
      <c r="C596" t="s">
        <v>15</v>
      </c>
      <c r="D596" t="s">
        <v>45</v>
      </c>
      <c r="E596">
        <v>25</v>
      </c>
      <c r="F596" t="s">
        <v>17</v>
      </c>
      <c r="G596" t="s">
        <v>18</v>
      </c>
      <c r="H596">
        <v>3</v>
      </c>
      <c r="I596">
        <v>6</v>
      </c>
      <c r="J596">
        <v>7</v>
      </c>
      <c r="K596">
        <v>116</v>
      </c>
      <c r="L596" s="1">
        <v>27</v>
      </c>
      <c r="M596" t="s">
        <v>46</v>
      </c>
      <c r="N596" s="1" t="s">
        <v>47</v>
      </c>
      <c r="O596">
        <f>L596/N596</f>
        <v>0.12272727272727273</v>
      </c>
      <c r="P596" s="1">
        <v>297</v>
      </c>
      <c r="Q596" s="1">
        <f>L596-N596</f>
        <v>-193</v>
      </c>
      <c r="R596" s="1">
        <v>300</v>
      </c>
      <c r="S596">
        <f>SUM(P596,R596)</f>
        <v>597</v>
      </c>
    </row>
  </sheetData>
  <sortState xmlns:xlrd2="http://schemas.microsoft.com/office/spreadsheetml/2017/richdata2" ref="A297:S596">
    <sortCondition ref="S297:S596"/>
  </sortState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Ardemagni</cp:lastModifiedBy>
  <dcterms:modified xsi:type="dcterms:W3CDTF">2026-09-12T19:49:04Z</dcterms:modified>
</cp:coreProperties>
</file>